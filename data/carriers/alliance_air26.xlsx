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<sst xmlns="http://schemas.openxmlformats.org/spreadsheetml/2006/main" count="157" uniqueCount="44">
  <si>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</si>
  <si>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</si>
  <si>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</si>
  <si>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</si>
  <si>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</si>
  <si>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</si>
  <si>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</si>
  <si>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</si>
  <si>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</si>
  <si>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</si>
  <si>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</si>
  <si>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</si>
  <si>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</si>
  <si>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</si>
  <si>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</si>
  <si>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</si>
  <si>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</si>
  <si>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</si>
  <si>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</si>
  <si>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</si>
  <si>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</si>
  <si>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</si>
  <si>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</si>
  <si>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</si>
  <si>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</si>
  <si>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</si>
  <si>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</si>
  <si>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</si>
  <si>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</si>
  <si>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</si>
  <si>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</si>
  <si>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</si>
  <si>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</si>
  <si>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</si>
  <si>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</si>
  <si>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</si>
  <si>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</si>
  <si>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</si>
  <si>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</si>
  <si>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</si>
  <si>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</si>
  <si>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ALLIANCE AIR</t>
  </si>
  <si>
    <t>2026</t>
  </si>
  <si>
    <t>SOURCE:- ICAO ATR FORM A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</si>
</sst>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#,##0.000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166" fontId="2" fillId="6" borderId="5" xfId="0" applyNumberFormat="1" applyFont="1" applyFill="1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166" fontId="2" fillId="6" borderId="0" xfId="0" applyNumberFormat="1" applyFont="1" applyFill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 wrapText="1"/>
    </xf>
    <xf numFmtId="4" fontId="11" fillId="14" borderId="15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2" transitionEvaluation="1" transitionEntry="1"/>
  <dimension ref="A1:Q494"/>
  <sheetViews>
    <sheetView showGridLines="0" tabSelected="1" view="pageBreakPreview" topLeftCell="A22" zoomScaleNormal="85" zoomScaleSheetLayoutView="100" workbookViewId="0">
      <selection activeCell="O54" sqref="O54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33" t="s">
        <v>42</v>
      </c>
      <c r="B1" s="134"/>
      <c r="C1" s="135" t="s">
        <v>0</v>
      </c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6" t="s">
        <v>41</v>
      </c>
      <c r="P1" s="136"/>
      <c r="Q1" s="137"/>
    </row>
    <row r="2" spans="1:17" ht="49.5" customHeight="1" x14ac:dyDescent="0.25">
      <c r="A2" s="138" t="s">
        <v>1</v>
      </c>
      <c r="B2" s="140" t="s">
        <v>2</v>
      </c>
      <c r="C2" s="140"/>
      <c r="D2" s="140"/>
      <c r="E2" s="141" t="s">
        <v>3</v>
      </c>
      <c r="F2" s="141" t="s">
        <v>4</v>
      </c>
      <c r="G2" s="141" t="s">
        <v>5</v>
      </c>
      <c r="H2" s="141" t="s">
        <v>37</v>
      </c>
      <c r="I2" s="140" t="s">
        <v>6</v>
      </c>
      <c r="J2" s="140"/>
      <c r="K2" s="140"/>
      <c r="L2" s="140" t="s">
        <v>7</v>
      </c>
      <c r="M2" s="140"/>
      <c r="N2" s="140"/>
      <c r="O2" s="140"/>
      <c r="P2" s="141" t="s">
        <v>8</v>
      </c>
      <c r="Q2" s="141" t="s">
        <v>38</v>
      </c>
    </row>
    <row r="3" spans="1:17" ht="155.25" customHeight="1" x14ac:dyDescent="0.25">
      <c r="A3" s="139"/>
      <c r="B3" s="42" t="s">
        <v>9</v>
      </c>
      <c r="C3" s="42" t="s">
        <v>10</v>
      </c>
      <c r="D3" s="42" t="s">
        <v>11</v>
      </c>
      <c r="E3" s="141"/>
      <c r="F3" s="141"/>
      <c r="G3" s="141"/>
      <c r="H3" s="141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41"/>
      <c r="Q3" s="141"/>
    </row>
    <row r="4" spans="1:17" ht="23.1" customHeight="1" x14ac:dyDescent="0.25">
      <c r="A4" s="20" t="s">
        <v>19</v>
      </c>
      <c r="B4" s="21">
        <v>1378</v>
      </c>
      <c r="C4" s="21">
        <v>1908</v>
      </c>
      <c r="D4" s="22">
        <v>566.423</v>
      </c>
      <c r="E4" s="23">
        <v>57459</v>
      </c>
      <c r="F4" s="21">
        <v>24249.432000000001</v>
      </c>
      <c r="G4" s="21">
        <v>37442.125</v>
      </c>
      <c r="H4" s="25">
        <v>64.77</v>
      </c>
      <c r="I4" s="26">
        <v>0</v>
      </c>
      <c r="J4" s="27">
        <v>0</v>
      </c>
      <c r="K4" s="25">
        <v>0</v>
      </c>
      <c r="L4" s="26">
        <v>2206.6983</v>
      </c>
      <c r="M4" s="127">
        <v>0</v>
      </c>
      <c r="N4" s="27">
        <v>0</v>
      </c>
      <c r="O4" s="25">
        <v>2206.6983</v>
      </c>
      <c r="P4" s="27">
        <v>3585.4402</v>
      </c>
      <c r="Q4" s="25">
        <v>61.55</v>
      </c>
    </row>
    <row r="5" spans="1:17" ht="23.1" customHeight="1" x14ac:dyDescent="0.25">
      <c r="A5" s="43" t="s">
        <v>20</v>
      </c>
      <c r="B5" s="64">
        <v>1309</v>
      </c>
      <c r="C5" s="64">
        <v>1786</v>
      </c>
      <c r="D5" s="53">
        <v>523.14300000000003</v>
      </c>
      <c r="E5" s="75">
        <v>53796</v>
      </c>
      <c r="F5" s="64">
        <v>22518.46</v>
      </c>
      <c r="G5" s="64">
        <v>34209.063999999998</v>
      </c>
      <c r="H5" s="84">
        <v>65.83</v>
      </c>
      <c r="I5" s="93">
        <v>0</v>
      </c>
      <c r="J5" s="102">
        <v>0</v>
      </c>
      <c r="K5" s="84">
        <v>0</v>
      </c>
      <c r="L5" s="93">
        <v>2049.1799000000001</v>
      </c>
      <c r="M5" s="128">
        <v>0</v>
      </c>
      <c r="N5" s="102">
        <v>0</v>
      </c>
      <c r="O5" s="84">
        <v>2049.1799000000001</v>
      </c>
      <c r="P5" s="102">
        <v>3270.3366999999998</v>
      </c>
      <c r="Q5" s="84">
        <v>62.66</v>
      </c>
    </row>
    <row r="6" spans="1:17" ht="23.1" customHeight="1" x14ac:dyDescent="0.25">
      <c r="A6" s="45" t="s">
        <v>21</v>
      </c>
      <c r="B6" s="29">
        <v>1214</v>
      </c>
      <c r="C6" s="29">
        <v>1689</v>
      </c>
      <c r="D6" s="28">
        <v>497.74</v>
      </c>
      <c r="E6" s="30">
        <v>45672</v>
      </c>
      <c r="F6" s="29">
        <v>19769.918000000001</v>
      </c>
      <c r="G6" s="29">
        <v>32604.696</v>
      </c>
      <c r="H6" s="31">
        <v>60.64</v>
      </c>
      <c r="I6" s="32">
        <v>0</v>
      </c>
      <c r="J6" s="33">
        <v>0</v>
      </c>
      <c r="K6" s="31">
        <v>0</v>
      </c>
      <c r="L6" s="32">
        <v>1799.0625</v>
      </c>
      <c r="M6" s="129">
        <v>0</v>
      </c>
      <c r="N6" s="33">
        <v>0</v>
      </c>
      <c r="O6" s="31">
        <v>1799.0625</v>
      </c>
      <c r="P6" s="33">
        <v>3122.1898000000001</v>
      </c>
      <c r="Q6" s="31">
        <v>57.62</v>
      </c>
    </row>
    <row r="7" spans="1:17" ht="23.1" customHeight="1" x14ac:dyDescent="0.25">
      <c r="A7" s="43" t="s">
        <v>22</v>
      </c>
      <c r="B7" s="64">
        <v>1156</v>
      </c>
      <c r="C7" s="64">
        <v>1575</v>
      </c>
      <c r="D7" s="53">
        <v>454.52800000000002</v>
      </c>
      <c r="E7" s="75">
        <v>42677</v>
      </c>
      <c r="F7" s="64">
        <v>18243.580999999998</v>
      </c>
      <c r="G7" s="64">
        <v>29836.52</v>
      </c>
      <c r="H7" s="84">
        <v>61.15</v>
      </c>
      <c r="I7" s="93">
        <v>0</v>
      </c>
      <c r="J7" s="102">
        <v>0</v>
      </c>
      <c r="K7" s="84">
        <v>0</v>
      </c>
      <c r="L7" s="93">
        <v>1660.1659</v>
      </c>
      <c r="M7" s="128">
        <v>0</v>
      </c>
      <c r="N7" s="102">
        <v>0</v>
      </c>
      <c r="O7" s="84">
        <v>1660.1659</v>
      </c>
      <c r="P7" s="102">
        <v>2871.3105999999998</v>
      </c>
      <c r="Q7" s="84">
        <v>57.82</v>
      </c>
    </row>
    <row r="8" spans="1:17" ht="30" customHeight="1" x14ac:dyDescent="0.25">
      <c r="A8" s="45" t="s">
        <v>23</v>
      </c>
      <c r="B8" s="29">
        <v>1400</v>
      </c>
      <c r="C8" s="29">
        <v>1887</v>
      </c>
      <c r="D8" s="28">
        <v>541.46299999999997</v>
      </c>
      <c r="E8" s="30">
        <v>50348</v>
      </c>
      <c r="F8" s="29">
        <v>20946.758000000002</v>
      </c>
      <c r="G8" s="29">
        <v>34227.084000000003</v>
      </c>
      <c r="H8" s="31">
        <v>61.2</v>
      </c>
      <c r="I8" s="32">
        <v>6.641</v>
      </c>
      <c r="J8" s="33">
        <v>0</v>
      </c>
      <c r="K8" s="31">
        <v>6.641</v>
      </c>
      <c r="L8" s="32">
        <v>1906.155</v>
      </c>
      <c r="M8" s="129">
        <v>6.6E-3</v>
      </c>
      <c r="N8" s="33">
        <v>0</v>
      </c>
      <c r="O8" s="31">
        <v>1906.1615999999999</v>
      </c>
      <c r="P8" s="33">
        <v>3276.0364</v>
      </c>
      <c r="Q8" s="31">
        <v>58.18</v>
      </c>
    </row>
    <row r="9" spans="1:17" ht="23.1" customHeight="1" x14ac:dyDescent="0.25">
      <c r="A9" s="43" t="s">
        <v>39</v>
      </c>
      <c r="B9" s="64">
        <v>1417</v>
      </c>
      <c r="C9" s="64">
        <v>1869</v>
      </c>
      <c r="D9" s="53">
        <v>538.66999999999996</v>
      </c>
      <c r="E9" s="75">
        <v>50896</v>
      </c>
      <c r="F9" s="64">
        <v>20816.384999999998</v>
      </c>
      <c r="G9" s="64">
        <v>33714.334999999999</v>
      </c>
      <c r="H9" s="84">
        <v>61.74</v>
      </c>
      <c r="I9" s="93">
        <v>14.983000000000001</v>
      </c>
      <c r="J9" s="102">
        <v>0</v>
      </c>
      <c r="K9" s="84">
        <v>14.983000000000001</v>
      </c>
      <c r="L9" s="93">
        <v>1894.2909999999999</v>
      </c>
      <c r="M9" s="128">
        <v>1.4999999999999999E-2</v>
      </c>
      <c r="N9" s="102">
        <v>0</v>
      </c>
      <c r="O9" s="84">
        <v>1894.306</v>
      </c>
      <c r="P9" s="102">
        <v>3233.8723</v>
      </c>
      <c r="Q9" s="84">
        <v>58.58</v>
      </c>
    </row>
    <row r="10" spans="1:17" ht="23.1" customHeight="1" x14ac:dyDescent="0.25">
      <c r="A10" s="45" t="s">
        <v>24</v>
      </c>
      <c r="B10" s="29">
        <v>1409</v>
      </c>
      <c r="C10" s="29">
        <v>1879</v>
      </c>
      <c r="D10" s="28">
        <v>551.33500000000004</v>
      </c>
      <c r="E10" s="30">
        <v>50078</v>
      </c>
      <c r="F10" s="29">
        <v>20792.337</v>
      </c>
      <c r="G10" s="29">
        <v>34940.055999999997</v>
      </c>
      <c r="H10" s="31">
        <v>59.51</v>
      </c>
      <c r="I10" s="32">
        <v>14.596</v>
      </c>
      <c r="J10" s="33">
        <v>0</v>
      </c>
      <c r="K10" s="31">
        <v>14.596</v>
      </c>
      <c r="L10" s="32">
        <v>1892.1026999999999</v>
      </c>
      <c r="M10" s="129">
        <v>1.46E-2</v>
      </c>
      <c r="N10" s="33">
        <v>0</v>
      </c>
      <c r="O10" s="31">
        <v>1892.1172999999999</v>
      </c>
      <c r="P10" s="33">
        <v>3342.5985000000001</v>
      </c>
      <c r="Q10" s="31">
        <v>56.61</v>
      </c>
    </row>
    <row r="11" spans="1:17" ht="23.1" customHeight="1" x14ac:dyDescent="0.25">
      <c r="A11" s="43" t="s">
        <v>25</v>
      </c>
      <c r="B11" s="64"/>
      <c r="C11" s="64"/>
      <c r="D11" s="53"/>
      <c r="E11" s="75"/>
      <c r="F11" s="64"/>
      <c r="G11" s="64"/>
      <c r="H11" s="84"/>
      <c r="I11" s="93"/>
      <c r="J11" s="102"/>
      <c r="K11" s="84"/>
      <c r="L11" s="93"/>
      <c r="M11" s="102"/>
      <c r="N11" s="102"/>
      <c r="O11" s="84"/>
      <c r="P11" s="102"/>
      <c r="Q11" s="84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5"/>
      <c r="F13" s="64"/>
      <c r="G13" s="64"/>
      <c r="H13" s="84"/>
      <c r="I13" s="93"/>
      <c r="J13" s="102"/>
      <c r="K13" s="84"/>
      <c r="L13" s="93"/>
      <c r="M13" s="102"/>
      <c r="N13" s="102"/>
      <c r="O13" s="84"/>
      <c r="P13" s="102"/>
      <c r="Q13" s="84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9283</v>
      </c>
      <c r="C16" s="36">
        <f t="shared" si="0"/>
        <v>12593</v>
      </c>
      <c r="D16" s="36">
        <f t="shared" si="0"/>
        <v>3673.3020000000001</v>
      </c>
      <c r="E16" s="36">
        <f t="shared" si="0"/>
        <v>350926</v>
      </c>
      <c r="F16" s="36">
        <f t="shared" si="0"/>
        <v>147336.87099999998</v>
      </c>
      <c r="G16" s="36">
        <f t="shared" si="0"/>
        <v>236973.88</v>
      </c>
      <c r="H16" s="37">
        <f>IFERROR(F16/G16*100,"")</f>
        <v>62.174308409011147</v>
      </c>
      <c r="I16" s="37">
        <f t="shared" ref="I16:P16" si="1">IFERROR(SUM(I4:I15),"")</f>
        <v>36.22</v>
      </c>
      <c r="J16" s="37">
        <f t="shared" si="1"/>
        <v>0</v>
      </c>
      <c r="K16" s="37">
        <f t="shared" si="1"/>
        <v>36.22</v>
      </c>
      <c r="L16" s="37">
        <f t="shared" si="1"/>
        <v>13407.655299999999</v>
      </c>
      <c r="M16" s="130">
        <f t="shared" si="1"/>
        <v>3.6200000000000003E-2</v>
      </c>
      <c r="N16" s="37">
        <f t="shared" si="1"/>
        <v>0</v>
      </c>
      <c r="O16" s="37">
        <f t="shared" si="1"/>
        <v>13407.691500000001</v>
      </c>
      <c r="P16" s="38">
        <f t="shared" si="1"/>
        <v>22701.784500000002</v>
      </c>
      <c r="Q16" s="38">
        <f>IFERROR(O16/P16*100,"")</f>
        <v>59.060077413738114</v>
      </c>
    </row>
    <row r="17" spans="1:17" ht="20.100000000000001" customHeight="1" x14ac:dyDescent="0.25">
      <c r="A17" s="142" t="s">
        <v>43</v>
      </c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</row>
    <row r="18" spans="1:17" ht="15.75" x14ac:dyDescent="0.25">
      <c r="A18" s="132" t="s">
        <v>31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</row>
    <row r="19" spans="1:17" ht="15.75" x14ac:dyDescent="0.25">
      <c r="A19" s="132" t="s">
        <v>32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</row>
    <row r="20" spans="1:17" ht="51.75" customHeight="1" x14ac:dyDescent="0.25">
      <c r="A20" s="144" t="s">
        <v>42</v>
      </c>
      <c r="B20" s="145"/>
      <c r="C20" s="146" t="s">
        <v>33</v>
      </c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7" t="s">
        <v>41</v>
      </c>
      <c r="P20" s="147"/>
      <c r="Q20" s="148"/>
    </row>
    <row r="21" spans="1:17" ht="51" customHeight="1" x14ac:dyDescent="0.25">
      <c r="A21" s="149" t="s">
        <v>1</v>
      </c>
      <c r="B21" s="149" t="s">
        <v>2</v>
      </c>
      <c r="C21" s="149"/>
      <c r="D21" s="149"/>
      <c r="E21" s="150" t="s">
        <v>3</v>
      </c>
      <c r="F21" s="150" t="s">
        <v>4</v>
      </c>
      <c r="G21" s="150" t="s">
        <v>5</v>
      </c>
      <c r="H21" s="150" t="s">
        <v>37</v>
      </c>
      <c r="I21" s="149" t="s">
        <v>6</v>
      </c>
      <c r="J21" s="149"/>
      <c r="K21" s="149"/>
      <c r="L21" s="149" t="s">
        <v>7</v>
      </c>
      <c r="M21" s="149"/>
      <c r="N21" s="149"/>
      <c r="O21" s="149"/>
      <c r="P21" s="150" t="s">
        <v>8</v>
      </c>
      <c r="Q21" s="150" t="s">
        <v>38</v>
      </c>
    </row>
    <row r="22" spans="1:17" ht="150.75" customHeight="1" x14ac:dyDescent="0.25">
      <c r="A22" s="149"/>
      <c r="B22" s="19" t="s">
        <v>9</v>
      </c>
      <c r="C22" s="19" t="s">
        <v>10</v>
      </c>
      <c r="D22" s="19" t="s">
        <v>11</v>
      </c>
      <c r="E22" s="150"/>
      <c r="F22" s="150"/>
      <c r="G22" s="150"/>
      <c r="H22" s="150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51"/>
      <c r="Q22" s="151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42" t="s">
        <v>43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</row>
    <row r="37" spans="1:17" ht="15.75" x14ac:dyDescent="0.25">
      <c r="A37" s="132" t="s">
        <v>31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</row>
    <row r="38" spans="1:17" ht="15.75" x14ac:dyDescent="0.25">
      <c r="A38" s="132" t="s">
        <v>32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</row>
    <row r="39" spans="1:17" ht="40.5" customHeight="1" x14ac:dyDescent="0.25">
      <c r="A39" s="152" t="s">
        <v>42</v>
      </c>
      <c r="B39" s="153"/>
      <c r="C39" s="154" t="s">
        <v>34</v>
      </c>
      <c r="D39" s="154"/>
      <c r="E39" s="154"/>
      <c r="F39" s="154"/>
      <c r="G39" s="154"/>
      <c r="H39" s="154"/>
      <c r="I39" s="154"/>
      <c r="J39" s="154"/>
      <c r="K39" s="154"/>
      <c r="L39" s="154"/>
      <c r="M39" s="154"/>
      <c r="N39" s="154"/>
      <c r="O39" s="155" t="s">
        <v>41</v>
      </c>
      <c r="P39" s="155"/>
      <c r="Q39" s="156"/>
    </row>
    <row r="40" spans="1:17" ht="39.75" customHeight="1" x14ac:dyDescent="0.25">
      <c r="A40" s="157" t="s">
        <v>1</v>
      </c>
      <c r="B40" s="157" t="s">
        <v>2</v>
      </c>
      <c r="C40" s="157"/>
      <c r="D40" s="157"/>
      <c r="E40" s="158" t="s">
        <v>3</v>
      </c>
      <c r="F40" s="158" t="s">
        <v>4</v>
      </c>
      <c r="G40" s="158" t="s">
        <v>5</v>
      </c>
      <c r="H40" s="158" t="s">
        <v>37</v>
      </c>
      <c r="I40" s="157" t="s">
        <v>6</v>
      </c>
      <c r="J40" s="157"/>
      <c r="K40" s="157"/>
      <c r="L40" s="157" t="s">
        <v>7</v>
      </c>
      <c r="M40" s="157"/>
      <c r="N40" s="157"/>
      <c r="O40" s="157"/>
      <c r="P40" s="158" t="s">
        <v>8</v>
      </c>
      <c r="Q40" s="158" t="s">
        <v>38</v>
      </c>
    </row>
    <row r="41" spans="1:17" ht="178.5" customHeight="1" x14ac:dyDescent="0.25">
      <c r="A41" s="157"/>
      <c r="B41" s="40" t="s">
        <v>9</v>
      </c>
      <c r="C41" s="40" t="s">
        <v>10</v>
      </c>
      <c r="D41" s="40" t="s">
        <v>11</v>
      </c>
      <c r="E41" s="159"/>
      <c r="F41" s="159"/>
      <c r="G41" s="159"/>
      <c r="H41" s="159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9"/>
      <c r="Q41" s="159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>
        <v>10</v>
      </c>
      <c r="C43" s="65">
        <v>12</v>
      </c>
      <c r="D43" s="66">
        <v>6.57</v>
      </c>
      <c r="E43" s="63">
        <v>15</v>
      </c>
      <c r="F43" s="65">
        <v>9.8550000000000004</v>
      </c>
      <c r="G43" s="65">
        <v>459.9</v>
      </c>
      <c r="H43" s="67">
        <v>2.14</v>
      </c>
      <c r="I43" s="68">
        <v>0</v>
      </c>
      <c r="J43" s="69">
        <v>0</v>
      </c>
      <c r="K43" s="67">
        <v>0</v>
      </c>
      <c r="L43" s="68">
        <v>0.89680000000000004</v>
      </c>
      <c r="M43" s="69">
        <v>0</v>
      </c>
      <c r="N43" s="69">
        <v>0</v>
      </c>
      <c r="O43" s="67">
        <v>0.89680000000000004</v>
      </c>
      <c r="P43" s="68">
        <v>43.6905</v>
      </c>
      <c r="Q43" s="67">
        <v>2.0499999999999998</v>
      </c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>
        <v>8</v>
      </c>
      <c r="C46" s="115">
        <v>7</v>
      </c>
      <c r="D46" s="111">
        <v>2.0859999999999999</v>
      </c>
      <c r="E46" s="109">
        <v>4</v>
      </c>
      <c r="F46" s="110">
        <v>0.69199999999999995</v>
      </c>
      <c r="G46" s="110">
        <v>146.02000000000001</v>
      </c>
      <c r="H46" s="112">
        <v>0.47</v>
      </c>
      <c r="I46" s="113">
        <v>0</v>
      </c>
      <c r="J46" s="114">
        <v>0</v>
      </c>
      <c r="K46" s="112">
        <v>0</v>
      </c>
      <c r="L46" s="113">
        <v>6.3E-2</v>
      </c>
      <c r="M46" s="114">
        <v>0</v>
      </c>
      <c r="N46" s="114">
        <v>0</v>
      </c>
      <c r="O46" s="112">
        <v>6.3E-2</v>
      </c>
      <c r="P46" s="113">
        <v>13.8719</v>
      </c>
      <c r="Q46" s="112">
        <v>0.45</v>
      </c>
    </row>
    <row r="47" spans="1:17" ht="25.5" customHeight="1" x14ac:dyDescent="0.25">
      <c r="A47" s="47" t="s">
        <v>39</v>
      </c>
      <c r="B47" s="71">
        <v>6</v>
      </c>
      <c r="C47" s="72">
        <v>3</v>
      </c>
      <c r="D47" s="66">
        <v>1.5940000000000001</v>
      </c>
      <c r="E47" s="71">
        <v>58</v>
      </c>
      <c r="F47" s="72">
        <v>16.46</v>
      </c>
      <c r="G47" s="72">
        <v>73.323999999999998</v>
      </c>
      <c r="H47" s="67">
        <v>22.45</v>
      </c>
      <c r="I47" s="73">
        <v>0</v>
      </c>
      <c r="J47" s="74">
        <v>0</v>
      </c>
      <c r="K47" s="67">
        <v>0</v>
      </c>
      <c r="L47" s="73">
        <v>1.4979</v>
      </c>
      <c r="M47" s="74">
        <v>0</v>
      </c>
      <c r="N47" s="74">
        <v>0</v>
      </c>
      <c r="O47" s="67">
        <v>1.4979</v>
      </c>
      <c r="P47" s="73">
        <v>7.173</v>
      </c>
      <c r="Q47" s="67">
        <v>20.88</v>
      </c>
    </row>
    <row r="48" spans="1:17" ht="25.5" customHeight="1" x14ac:dyDescent="0.25">
      <c r="A48" s="46" t="s">
        <v>40</v>
      </c>
      <c r="B48" s="116">
        <v>17</v>
      </c>
      <c r="C48" s="117">
        <v>27</v>
      </c>
      <c r="D48" s="118">
        <v>11.622999999999999</v>
      </c>
      <c r="E48" s="116">
        <v>40</v>
      </c>
      <c r="F48" s="117">
        <v>49.56</v>
      </c>
      <c r="G48" s="117">
        <v>782.45799999999997</v>
      </c>
      <c r="H48" s="112">
        <v>6.33</v>
      </c>
      <c r="I48" s="119">
        <v>0</v>
      </c>
      <c r="J48" s="120">
        <v>0</v>
      </c>
      <c r="K48" s="112">
        <v>0</v>
      </c>
      <c r="L48" s="119">
        <v>4.51</v>
      </c>
      <c r="M48" s="120">
        <v>0</v>
      </c>
      <c r="N48" s="120">
        <v>0</v>
      </c>
      <c r="O48" s="112">
        <v>4.51</v>
      </c>
      <c r="P48" s="119">
        <v>74.502300000000005</v>
      </c>
      <c r="Q48" s="112">
        <v>6.05</v>
      </c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41</v>
      </c>
      <c r="C54" s="123">
        <f t="shared" si="4"/>
        <v>49</v>
      </c>
      <c r="D54" s="123">
        <f t="shared" si="4"/>
        <v>21.872999999999998</v>
      </c>
      <c r="E54" s="123">
        <f t="shared" si="4"/>
        <v>117</v>
      </c>
      <c r="F54" s="123">
        <f t="shared" si="4"/>
        <v>76.567000000000007</v>
      </c>
      <c r="G54" s="123">
        <f t="shared" si="4"/>
        <v>1461.7019999999998</v>
      </c>
      <c r="H54" s="124">
        <f>IFERROR(F54/G54*100,"")</f>
        <v>5.2382086088682929</v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31">
        <f t="shared" si="5"/>
        <v>6.9676999999999998</v>
      </c>
      <c r="M54" s="124">
        <f t="shared" si="5"/>
        <v>0</v>
      </c>
      <c r="N54" s="124">
        <f t="shared" si="5"/>
        <v>0</v>
      </c>
      <c r="O54" s="131">
        <f t="shared" si="5"/>
        <v>6.9676999999999998</v>
      </c>
      <c r="P54" s="125">
        <f t="shared" si="5"/>
        <v>139.23770000000002</v>
      </c>
      <c r="Q54" s="124">
        <f>IFERROR(O54/P54*100,"")</f>
        <v>5.0041763114443851</v>
      </c>
    </row>
    <row r="55" spans="1:17" ht="22.5" customHeight="1" x14ac:dyDescent="0.25">
      <c r="A55" s="142" t="s">
        <v>43</v>
      </c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</row>
    <row r="56" spans="1:17" ht="22.5" customHeight="1" x14ac:dyDescent="0.25">
      <c r="A56" s="132" t="s">
        <v>31</v>
      </c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</row>
    <row r="57" spans="1:17" ht="22.5" customHeight="1" x14ac:dyDescent="0.25">
      <c r="A57" s="132" t="s">
        <v>32</v>
      </c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</row>
    <row r="58" spans="1:17" ht="47.25" customHeight="1" x14ac:dyDescent="0.25">
      <c r="A58" s="160" t="s">
        <v>42</v>
      </c>
      <c r="B58" s="161"/>
      <c r="C58" s="162" t="s">
        <v>35</v>
      </c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3" t="s">
        <v>41</v>
      </c>
      <c r="P58" s="163"/>
      <c r="Q58" s="164"/>
    </row>
    <row r="59" spans="1:17" ht="33.75" customHeight="1" x14ac:dyDescent="0.25">
      <c r="A59" s="165" t="s">
        <v>1</v>
      </c>
      <c r="B59" s="165" t="s">
        <v>2</v>
      </c>
      <c r="C59" s="165"/>
      <c r="D59" s="165"/>
      <c r="E59" s="166" t="s">
        <v>3</v>
      </c>
      <c r="F59" s="166" t="s">
        <v>4</v>
      </c>
      <c r="G59" s="166" t="s">
        <v>5</v>
      </c>
      <c r="H59" s="166" t="s">
        <v>37</v>
      </c>
      <c r="I59" s="165" t="s">
        <v>6</v>
      </c>
      <c r="J59" s="165"/>
      <c r="K59" s="165"/>
      <c r="L59" s="165" t="s">
        <v>7</v>
      </c>
      <c r="M59" s="165"/>
      <c r="N59" s="165"/>
      <c r="O59" s="165"/>
      <c r="P59" s="166" t="s">
        <v>8</v>
      </c>
      <c r="Q59" s="166" t="s">
        <v>38</v>
      </c>
    </row>
    <row r="60" spans="1:17" ht="164.25" customHeight="1" x14ac:dyDescent="0.25">
      <c r="A60" s="165"/>
      <c r="B60" s="39" t="s">
        <v>9</v>
      </c>
      <c r="C60" s="39" t="s">
        <v>10</v>
      </c>
      <c r="D60" s="39" t="s">
        <v>11</v>
      </c>
      <c r="E60" s="167"/>
      <c r="F60" s="167"/>
      <c r="G60" s="167"/>
      <c r="H60" s="167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7"/>
      <c r="Q60" s="167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42" t="s">
        <v>43</v>
      </c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</row>
    <row r="75" spans="1:17" ht="15.75" x14ac:dyDescent="0.25">
      <c r="A75" s="132" t="s">
        <v>31</v>
      </c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</row>
    <row r="76" spans="1:17" ht="15.75" x14ac:dyDescent="0.25">
      <c r="A76" s="132" t="s">
        <v>32</v>
      </c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2026-08-13T07:29:27Z</dcterms:modified>
</cp:coreProperties>
</file>
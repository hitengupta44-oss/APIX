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July 2026\Excel July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<sst xmlns="http://schemas.openxmlformats.org/spreadsheetml/2006/main" count="157" uniqueCount="44">
  <si>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</si>
  <si>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</si>
  <si>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</si>
  <si>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</si>
  <si>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</si>
  <si>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</si>
  <si>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</si>
  <si>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</si>
  <si>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</si>
  <si>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</si>
  <si>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</si>
  <si>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</si>
  <si>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</si>
  <si>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</si>
  <si>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</si>
  <si>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</si>
  <si>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</si>
  <si>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</si>
  <si>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</si>
  <si>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</si>
  <si>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</si>
  <si>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</si>
  <si>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</si>
  <si>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</si>
  <si>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</si>
  <si>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</si>
  <si>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</si>
  <si>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</si>
  <si>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</si>
  <si>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</si>
  <si>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</si>
  <si>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</si>
  <si>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</si>
  <si>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</si>
  <si>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</si>
  <si>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</si>
  <si>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</si>
  <si>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</si>
  <si>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</si>
  <si>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</si>
  <si>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</si>
  <si>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FLY91</t>
  </si>
  <si>
    <t>2026</t>
  </si>
  <si>
    <t>SOURCE:- ICAO ATR FORM A FURNISHED BY FLY91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</si>
</sst>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="85" zoomScaleNormal="85" zoomScaleSheetLayoutView="85" workbookViewId="0">
      <selection activeCell="M54" sqref="M54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588</v>
      </c>
      <c r="C4" s="21">
        <v>781.7</v>
      </c>
      <c r="D4" s="22">
        <v>268</v>
      </c>
      <c r="E4" s="23">
        <v>33186</v>
      </c>
      <c r="F4" s="21">
        <v>15073.09</v>
      </c>
      <c r="G4" s="21">
        <v>18195.990000000002</v>
      </c>
      <c r="H4" s="25">
        <v>82.84</v>
      </c>
      <c r="I4" s="26">
        <v>0</v>
      </c>
      <c r="J4" s="27">
        <v>0</v>
      </c>
      <c r="K4" s="25">
        <v>0</v>
      </c>
      <c r="L4" s="26">
        <v>1247.1600000000001</v>
      </c>
      <c r="M4" s="27">
        <v>0</v>
      </c>
      <c r="N4" s="27">
        <v>0</v>
      </c>
      <c r="O4" s="25">
        <v>1247.1600000000001</v>
      </c>
      <c r="P4" s="27">
        <v>1546.66</v>
      </c>
      <c r="Q4" s="25">
        <v>80.64</v>
      </c>
    </row>
    <row r="5" spans="1:17" ht="23.1" customHeight="1" x14ac:dyDescent="0.25">
      <c r="A5" s="43" t="s">
        <v>20</v>
      </c>
      <c r="B5" s="64">
        <v>467</v>
      </c>
      <c r="C5" s="64">
        <v>599.71666600000003</v>
      </c>
      <c r="D5" s="53">
        <v>215.42</v>
      </c>
      <c r="E5" s="75">
        <v>24785</v>
      </c>
      <c r="F5" s="64">
        <v>11479.48</v>
      </c>
      <c r="G5" s="64">
        <v>14375.66</v>
      </c>
      <c r="H5" s="84">
        <v>79.849999999999994</v>
      </c>
      <c r="I5" s="93">
        <v>0</v>
      </c>
      <c r="J5" s="102">
        <v>0</v>
      </c>
      <c r="K5" s="84">
        <v>0</v>
      </c>
      <c r="L5" s="93">
        <v>946.53</v>
      </c>
      <c r="M5" s="102">
        <v>0</v>
      </c>
      <c r="N5" s="102">
        <v>0</v>
      </c>
      <c r="O5" s="84">
        <v>946.53</v>
      </c>
      <c r="P5" s="102">
        <v>1221.93</v>
      </c>
      <c r="Q5" s="84">
        <v>77.459999999999994</v>
      </c>
    </row>
    <row r="6" spans="1:17" ht="23.1" customHeight="1" x14ac:dyDescent="0.25">
      <c r="A6" s="45" t="s">
        <v>21</v>
      </c>
      <c r="B6" s="29">
        <v>679</v>
      </c>
      <c r="C6" s="29">
        <v>862.16660000000002</v>
      </c>
      <c r="D6" s="28">
        <v>309.52</v>
      </c>
      <c r="E6" s="30">
        <v>33059</v>
      </c>
      <c r="F6" s="29">
        <v>15013.8</v>
      </c>
      <c r="G6" s="29">
        <v>20598.66</v>
      </c>
      <c r="H6" s="31">
        <v>72.89</v>
      </c>
      <c r="I6" s="32">
        <v>0</v>
      </c>
      <c r="J6" s="33">
        <v>0</v>
      </c>
      <c r="K6" s="31">
        <v>0</v>
      </c>
      <c r="L6" s="32">
        <v>1235.26</v>
      </c>
      <c r="M6" s="33">
        <v>0</v>
      </c>
      <c r="N6" s="33">
        <v>0</v>
      </c>
      <c r="O6" s="31">
        <v>1235.26</v>
      </c>
      <c r="P6" s="33">
        <v>1750.89</v>
      </c>
      <c r="Q6" s="31">
        <v>70.55</v>
      </c>
    </row>
    <row r="7" spans="1:17" ht="23.1" customHeight="1" x14ac:dyDescent="0.25">
      <c r="A7" s="43" t="s">
        <v>22</v>
      </c>
      <c r="B7" s="64">
        <v>845</v>
      </c>
      <c r="C7" s="64">
        <v>1006.31667</v>
      </c>
      <c r="D7" s="53">
        <v>356.05</v>
      </c>
      <c r="E7" s="75">
        <v>38616</v>
      </c>
      <c r="F7" s="64">
        <v>16566.87</v>
      </c>
      <c r="G7" s="64">
        <v>25229.07</v>
      </c>
      <c r="H7" s="84">
        <v>65.67</v>
      </c>
      <c r="I7" s="93">
        <v>0</v>
      </c>
      <c r="J7" s="102">
        <v>0</v>
      </c>
      <c r="K7" s="84">
        <v>0</v>
      </c>
      <c r="L7" s="93">
        <v>1356.96</v>
      </c>
      <c r="M7" s="102">
        <v>0</v>
      </c>
      <c r="N7" s="102">
        <v>0</v>
      </c>
      <c r="O7" s="84">
        <v>1356.96</v>
      </c>
      <c r="P7" s="102">
        <v>2144.4699999999998</v>
      </c>
      <c r="Q7" s="84">
        <v>63.28</v>
      </c>
    </row>
    <row r="8" spans="1:17" ht="30" customHeight="1" x14ac:dyDescent="0.25">
      <c r="A8" s="45" t="s">
        <v>23</v>
      </c>
      <c r="B8" s="29">
        <v>1128</v>
      </c>
      <c r="C8" s="29">
        <v>1272.9833000000001</v>
      </c>
      <c r="D8" s="28">
        <v>445.44</v>
      </c>
      <c r="E8" s="30">
        <v>54496</v>
      </c>
      <c r="F8" s="29">
        <v>21912.12</v>
      </c>
      <c r="G8" s="29">
        <v>31626.45</v>
      </c>
      <c r="H8" s="31">
        <v>69.28</v>
      </c>
      <c r="I8" s="32">
        <v>0</v>
      </c>
      <c r="J8" s="33">
        <v>0</v>
      </c>
      <c r="K8" s="31">
        <v>0</v>
      </c>
      <c r="L8" s="32">
        <v>1790.83</v>
      </c>
      <c r="M8" s="33">
        <v>0</v>
      </c>
      <c r="N8" s="33">
        <v>0</v>
      </c>
      <c r="O8" s="31">
        <v>1790.83</v>
      </c>
      <c r="P8" s="33">
        <v>2688.25</v>
      </c>
      <c r="Q8" s="31">
        <v>66.62</v>
      </c>
    </row>
    <row r="9" spans="1:17" ht="23.1" customHeight="1" x14ac:dyDescent="0.25">
      <c r="A9" s="43" t="s">
        <v>39</v>
      </c>
      <c r="B9" s="64">
        <v>1110</v>
      </c>
      <c r="C9" s="64">
        <v>1238.133333</v>
      </c>
      <c r="D9" s="53">
        <v>436.46</v>
      </c>
      <c r="E9" s="75">
        <v>56816</v>
      </c>
      <c r="F9" s="64">
        <v>22632.66</v>
      </c>
      <c r="G9" s="64">
        <v>30911</v>
      </c>
      <c r="H9" s="84">
        <v>73.22</v>
      </c>
      <c r="I9" s="93">
        <v>0</v>
      </c>
      <c r="J9" s="102">
        <v>0</v>
      </c>
      <c r="K9" s="84">
        <v>0</v>
      </c>
      <c r="L9" s="93">
        <v>1848.14</v>
      </c>
      <c r="M9" s="102">
        <v>0</v>
      </c>
      <c r="N9" s="102">
        <v>0</v>
      </c>
      <c r="O9" s="84">
        <v>1848.14</v>
      </c>
      <c r="P9" s="102">
        <v>2627.44</v>
      </c>
      <c r="Q9" s="84">
        <v>70.34</v>
      </c>
    </row>
    <row r="10" spans="1:17" ht="23.1" customHeight="1" x14ac:dyDescent="0.25">
      <c r="A10" s="45" t="s">
        <v>24</v>
      </c>
      <c r="B10" s="29">
        <v>1060</v>
      </c>
      <c r="C10" s="29">
        <v>1216.4833333333299</v>
      </c>
      <c r="D10" s="28">
        <v>430.89</v>
      </c>
      <c r="E10" s="30">
        <v>56152</v>
      </c>
      <c r="F10" s="29">
        <v>22841.66</v>
      </c>
      <c r="G10" s="29">
        <v>30571.439999999999</v>
      </c>
      <c r="H10" s="31">
        <v>74.72</v>
      </c>
      <c r="I10" s="32">
        <v>0</v>
      </c>
      <c r="J10" s="33">
        <v>0</v>
      </c>
      <c r="K10" s="31">
        <v>0</v>
      </c>
      <c r="L10" s="32">
        <v>1870.82</v>
      </c>
      <c r="M10" s="33">
        <v>0</v>
      </c>
      <c r="N10" s="33">
        <v>0</v>
      </c>
      <c r="O10" s="31">
        <v>1870.82</v>
      </c>
      <c r="P10" s="33">
        <v>2598.5700000000002</v>
      </c>
      <c r="Q10" s="31">
        <v>71.989999999999995</v>
      </c>
    </row>
    <row r="11" spans="1:17" ht="23.1" customHeight="1" x14ac:dyDescent="0.25">
      <c r="A11" s="43" t="s">
        <v>25</v>
      </c>
      <c r="B11" s="64"/>
      <c r="C11" s="64"/>
      <c r="D11" s="53"/>
      <c r="E11" s="75"/>
      <c r="F11" s="64"/>
      <c r="G11" s="64"/>
      <c r="H11" s="84"/>
      <c r="I11" s="93"/>
      <c r="J11" s="102"/>
      <c r="K11" s="84"/>
      <c r="L11" s="93"/>
      <c r="M11" s="102"/>
      <c r="N11" s="102"/>
      <c r="O11" s="84"/>
      <c r="P11" s="102"/>
      <c r="Q11" s="84"/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5877</v>
      </c>
      <c r="C16" s="36">
        <f t="shared" si="0"/>
        <v>6977.4999023333303</v>
      </c>
      <c r="D16" s="36">
        <f t="shared" si="0"/>
        <v>2461.7800000000002</v>
      </c>
      <c r="E16" s="36">
        <f t="shared" si="0"/>
        <v>297110</v>
      </c>
      <c r="F16" s="36">
        <f t="shared" si="0"/>
        <v>125519.67999999999</v>
      </c>
      <c r="G16" s="36">
        <f t="shared" si="0"/>
        <v>171508.27000000002</v>
      </c>
      <c r="H16" s="37">
        <f>IFERROR(F16/G16*100,"")</f>
        <v>73.185788650308226</v>
      </c>
      <c r="I16" s="37">
        <f t="shared" ref="I16:P16" si="1">IFERROR(SUM(I4:I15),"")</f>
        <v>0</v>
      </c>
      <c r="J16" s="37">
        <f t="shared" si="1"/>
        <v>0</v>
      </c>
      <c r="K16" s="37">
        <f t="shared" si="1"/>
        <v>0</v>
      </c>
      <c r="L16" s="37">
        <f t="shared" si="1"/>
        <v>10295.699999999999</v>
      </c>
      <c r="M16" s="37">
        <f t="shared" si="1"/>
        <v>0</v>
      </c>
      <c r="N16" s="37">
        <f t="shared" si="1"/>
        <v>0</v>
      </c>
      <c r="O16" s="37">
        <f t="shared" si="1"/>
        <v>10295.699999999999</v>
      </c>
      <c r="P16" s="38">
        <f t="shared" si="1"/>
        <v>14578.210000000001</v>
      </c>
      <c r="Q16" s="38">
        <f>IFERROR(O16/P16*100,"")</f>
        <v>70.623896898178856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>
        <v>4</v>
      </c>
      <c r="C42" s="104">
        <v>10.23333</v>
      </c>
      <c r="D42" s="105">
        <v>3.98</v>
      </c>
      <c r="E42" s="103">
        <v>215</v>
      </c>
      <c r="F42" s="104">
        <v>213.93</v>
      </c>
      <c r="G42" s="104">
        <v>278.60000000000002</v>
      </c>
      <c r="H42" s="106">
        <v>76.790000000000006</v>
      </c>
      <c r="I42" s="107">
        <v>0</v>
      </c>
      <c r="J42" s="108">
        <v>0</v>
      </c>
      <c r="K42" s="106">
        <v>0</v>
      </c>
      <c r="L42" s="107">
        <v>16.04</v>
      </c>
      <c r="M42" s="108">
        <v>0</v>
      </c>
      <c r="N42" s="108">
        <v>0</v>
      </c>
      <c r="O42" s="106">
        <v>16.04</v>
      </c>
      <c r="P42" s="107">
        <v>23.68</v>
      </c>
      <c r="Q42" s="106">
        <v>67.739999999999995</v>
      </c>
    </row>
    <row r="43" spans="1:17" ht="25.5" customHeight="1" x14ac:dyDescent="0.25">
      <c r="A43" s="47" t="s">
        <v>20</v>
      </c>
      <c r="B43" s="63">
        <v>1</v>
      </c>
      <c r="C43" s="65">
        <v>1.5</v>
      </c>
      <c r="D43" s="66">
        <v>0.52</v>
      </c>
      <c r="E43" s="63">
        <v>68</v>
      </c>
      <c r="F43" s="65">
        <v>35.090000000000003</v>
      </c>
      <c r="G43" s="65">
        <v>36.119999999999997</v>
      </c>
      <c r="H43" s="67">
        <v>97.15</v>
      </c>
      <c r="I43" s="68">
        <v>0</v>
      </c>
      <c r="J43" s="69">
        <v>0</v>
      </c>
      <c r="K43" s="67">
        <v>0</v>
      </c>
      <c r="L43" s="68">
        <v>2.96</v>
      </c>
      <c r="M43" s="69">
        <v>0</v>
      </c>
      <c r="N43" s="69">
        <v>0</v>
      </c>
      <c r="O43" s="67">
        <v>2.96</v>
      </c>
      <c r="P43" s="68">
        <v>3.07</v>
      </c>
      <c r="Q43" s="67">
        <v>96.42</v>
      </c>
    </row>
    <row r="44" spans="1:17" ht="25.5" customHeight="1" x14ac:dyDescent="0.25">
      <c r="A44" s="46" t="s">
        <v>21</v>
      </c>
      <c r="B44" s="109"/>
      <c r="C44" s="110"/>
      <c r="D44" s="111"/>
      <c r="E44" s="109"/>
      <c r="F44" s="110"/>
      <c r="G44" s="110"/>
      <c r="H44" s="112"/>
      <c r="I44" s="113"/>
      <c r="J44" s="114"/>
      <c r="K44" s="112"/>
      <c r="L44" s="113"/>
      <c r="M44" s="114"/>
      <c r="N44" s="114"/>
      <c r="O44" s="112"/>
      <c r="P44" s="113"/>
      <c r="Q44" s="112"/>
    </row>
    <row r="45" spans="1:17" ht="25.5" customHeight="1" x14ac:dyDescent="0.25">
      <c r="A45" s="47" t="s">
        <v>22</v>
      </c>
      <c r="B45" s="63"/>
      <c r="C45" s="70"/>
      <c r="D45" s="66"/>
      <c r="E45" s="63"/>
      <c r="F45" s="65"/>
      <c r="G45" s="65"/>
      <c r="H45" s="67"/>
      <c r="I45" s="68"/>
      <c r="J45" s="69"/>
      <c r="K45" s="67"/>
      <c r="L45" s="68"/>
      <c r="M45" s="69"/>
      <c r="N45" s="69"/>
      <c r="O45" s="67"/>
      <c r="P45" s="68"/>
      <c r="Q45" s="67"/>
    </row>
    <row r="46" spans="1:17" ht="25.5" customHeight="1" x14ac:dyDescent="0.25">
      <c r="A46" s="46" t="s">
        <v>23</v>
      </c>
      <c r="B46" s="109">
        <v>1</v>
      </c>
      <c r="C46" s="115">
        <v>4.1665999999999999</v>
      </c>
      <c r="D46" s="111">
        <v>1.67</v>
      </c>
      <c r="E46" s="109">
        <v>58</v>
      </c>
      <c r="F46" s="110">
        <v>96.8</v>
      </c>
      <c r="G46" s="110">
        <v>120.17</v>
      </c>
      <c r="H46" s="112">
        <v>80.55</v>
      </c>
      <c r="I46" s="113">
        <v>0</v>
      </c>
      <c r="J46" s="114">
        <v>0</v>
      </c>
      <c r="K46" s="112">
        <v>0</v>
      </c>
      <c r="L46" s="113">
        <v>7.33</v>
      </c>
      <c r="M46" s="114">
        <v>0</v>
      </c>
      <c r="N46" s="114">
        <v>0</v>
      </c>
      <c r="O46" s="112">
        <v>7.33</v>
      </c>
      <c r="P46" s="113">
        <v>10.210000000000001</v>
      </c>
      <c r="Q46" s="112">
        <v>71.790000000000006</v>
      </c>
    </row>
    <row r="47" spans="1:17" ht="25.5" customHeight="1" x14ac:dyDescent="0.25">
      <c r="A47" s="47" t="s">
        <v>39</v>
      </c>
      <c r="B47" s="71">
        <v>8</v>
      </c>
      <c r="C47" s="72">
        <v>17.083333</v>
      </c>
      <c r="D47" s="66">
        <v>5.98</v>
      </c>
      <c r="E47" s="71">
        <v>206</v>
      </c>
      <c r="F47" s="72">
        <v>163.81</v>
      </c>
      <c r="G47" s="72">
        <v>428.5</v>
      </c>
      <c r="H47" s="67">
        <v>38.229999999999997</v>
      </c>
      <c r="I47" s="73">
        <v>0</v>
      </c>
      <c r="J47" s="74">
        <v>0</v>
      </c>
      <c r="K47" s="67">
        <v>0</v>
      </c>
      <c r="L47" s="73">
        <v>12.49</v>
      </c>
      <c r="M47" s="74">
        <v>0</v>
      </c>
      <c r="N47" s="74">
        <v>0</v>
      </c>
      <c r="O47" s="67">
        <v>12.49</v>
      </c>
      <c r="P47" s="73">
        <v>36.42</v>
      </c>
      <c r="Q47" s="67">
        <v>34.29</v>
      </c>
    </row>
    <row r="48" spans="1:17" ht="25.5" customHeight="1" x14ac:dyDescent="0.25">
      <c r="A48" s="46" t="s">
        <v>40</v>
      </c>
      <c r="B48" s="116"/>
      <c r="C48" s="117"/>
      <c r="D48" s="118"/>
      <c r="E48" s="116"/>
      <c r="F48" s="117"/>
      <c r="G48" s="117"/>
      <c r="H48" s="112"/>
      <c r="I48" s="119"/>
      <c r="J48" s="120"/>
      <c r="K48" s="112"/>
      <c r="L48" s="119"/>
      <c r="M48" s="120"/>
      <c r="N48" s="120"/>
      <c r="O48" s="112"/>
      <c r="P48" s="119"/>
      <c r="Q48" s="112"/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14</v>
      </c>
      <c r="C54" s="123">
        <f t="shared" si="4"/>
        <v>32.983263000000001</v>
      </c>
      <c r="D54" s="123">
        <f t="shared" si="4"/>
        <v>12.15</v>
      </c>
      <c r="E54" s="123">
        <f t="shared" si="4"/>
        <v>547</v>
      </c>
      <c r="F54" s="123">
        <f t="shared" si="4"/>
        <v>509.63</v>
      </c>
      <c r="G54" s="123">
        <f t="shared" si="4"/>
        <v>863.3900000000001</v>
      </c>
      <c r="H54" s="124">
        <f>IFERROR(F54/G54*100,"")</f>
        <v>59.026627595872085</v>
      </c>
      <c r="I54" s="124">
        <f t="shared" ref="I54:P54" si="5">IFERROR(SUM(I42:I53),"")</f>
        <v>0</v>
      </c>
      <c r="J54" s="124">
        <f t="shared" si="5"/>
        <v>0</v>
      </c>
      <c r="K54" s="124">
        <f t="shared" si="5"/>
        <v>0</v>
      </c>
      <c r="L54" s="124">
        <f t="shared" si="5"/>
        <v>38.82</v>
      </c>
      <c r="M54" s="124">
        <f t="shared" si="5"/>
        <v>0</v>
      </c>
      <c r="N54" s="124">
        <f t="shared" si="5"/>
        <v>0</v>
      </c>
      <c r="O54" s="124">
        <f t="shared" si="5"/>
        <v>38.82</v>
      </c>
      <c r="P54" s="125">
        <f t="shared" si="5"/>
        <v>73.38</v>
      </c>
      <c r="Q54" s="124">
        <f>IFERROR(O54/P54*100,"")</f>
        <v>52.902698282910876</v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0</v>
      </c>
      <c r="C73" s="87">
        <f t="shared" si="6"/>
        <v>0</v>
      </c>
      <c r="D73" s="87">
        <f t="shared" si="6"/>
        <v>0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0</v>
      </c>
      <c r="M73" s="88">
        <f t="shared" si="7"/>
        <v>0</v>
      </c>
      <c r="N73" s="88">
        <f t="shared" si="7"/>
        <v>0</v>
      </c>
      <c r="O73" s="88">
        <f t="shared" si="7"/>
        <v>0</v>
      </c>
      <c r="P73" s="88">
        <f t="shared" si="7"/>
        <v>0</v>
      </c>
      <c r="Q73" s="88" t="str">
        <f>IFERROR(O73/P73*100,"")</f>
        <v/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2026-08-13T07:29:53Z</dcterms:modified>
</cp:coreProperties>
</file>
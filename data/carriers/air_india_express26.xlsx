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Q73" i="1" l="1"/>
  <c r="P73" i="1"/>
  <c r="O73" i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<sst xmlns="http://schemas.openxmlformats.org/spreadsheetml/2006/main" count="157" uniqueCount="44">
  <si>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</si>
  <si>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</si>
  <si>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</si>
  <si>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</si>
  <si>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</si>
  <si>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</si>
  <si>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</si>
  <si>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</si>
  <si>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</si>
  <si>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</si>
  <si>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</si>
  <si>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</si>
  <si>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</si>
  <si>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</si>
  <si>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</si>
  <si>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</si>
  <si>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</si>
  <si>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</si>
  <si>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</si>
  <si>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</si>
  <si>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</si>
  <si>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</si>
  <si>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</si>
  <si>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</si>
  <si>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</si>
  <si>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</si>
  <si>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</si>
  <si>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</si>
  <si>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</si>
  <si>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</si>
  <si>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</si>
  <si>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</si>
  <si>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</si>
  <si>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</si>
  <si>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</si>
  <si>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</si>
  <si>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</si>
  <si>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</si>
  <si>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</si>
  <si>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</si>
  <si>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</si>
  <si>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AIR INDIA EXPRESS</t>
  </si>
  <si>
    <t>2026</t>
  </si>
  <si>
    <t>SOURCE:- ICAO ATR FORM A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</si>
</sst>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1" transitionEvaluation="1" transitionEntry="1"/>
  <dimension ref="A1:Q494"/>
  <sheetViews>
    <sheetView showGridLines="0" tabSelected="1" view="pageBreakPreview" topLeftCell="A61" zoomScaleNormal="85" zoomScaleSheetLayoutView="100" workbookViewId="0">
      <selection activeCell="A62" sqref="A62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54" t="s">
        <v>42</v>
      </c>
      <c r="B1" s="155"/>
      <c r="C1" s="156" t="s">
        <v>0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 t="s">
        <v>41</v>
      </c>
      <c r="P1" s="157"/>
      <c r="Q1" s="158"/>
    </row>
    <row r="2" spans="1:17" ht="49.5" customHeight="1" x14ac:dyDescent="0.25">
      <c r="A2" s="159" t="s">
        <v>1</v>
      </c>
      <c r="B2" s="161" t="s">
        <v>2</v>
      </c>
      <c r="C2" s="161"/>
      <c r="D2" s="161"/>
      <c r="E2" s="162" t="s">
        <v>3</v>
      </c>
      <c r="F2" s="162" t="s">
        <v>4</v>
      </c>
      <c r="G2" s="162" t="s">
        <v>5</v>
      </c>
      <c r="H2" s="162" t="s">
        <v>37</v>
      </c>
      <c r="I2" s="161" t="s">
        <v>6</v>
      </c>
      <c r="J2" s="161"/>
      <c r="K2" s="161"/>
      <c r="L2" s="161" t="s">
        <v>7</v>
      </c>
      <c r="M2" s="161"/>
      <c r="N2" s="161"/>
      <c r="O2" s="161"/>
      <c r="P2" s="162" t="s">
        <v>8</v>
      </c>
      <c r="Q2" s="162" t="s">
        <v>38</v>
      </c>
    </row>
    <row r="3" spans="1:17" ht="155.25" customHeight="1" x14ac:dyDescent="0.25">
      <c r="A3" s="160"/>
      <c r="B3" s="42" t="s">
        <v>9</v>
      </c>
      <c r="C3" s="42" t="s">
        <v>10</v>
      </c>
      <c r="D3" s="42" t="s">
        <v>11</v>
      </c>
      <c r="E3" s="162"/>
      <c r="F3" s="162"/>
      <c r="G3" s="162"/>
      <c r="H3" s="162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62"/>
      <c r="Q3" s="162"/>
    </row>
    <row r="4" spans="1:17" ht="23.1" customHeight="1" x14ac:dyDescent="0.25">
      <c r="A4" s="20" t="s">
        <v>19</v>
      </c>
      <c r="B4" s="21">
        <v>11270</v>
      </c>
      <c r="C4" s="21">
        <v>21145.333333333299</v>
      </c>
      <c r="D4" s="22">
        <v>10986.944</v>
      </c>
      <c r="E4" s="23">
        <v>1736876</v>
      </c>
      <c r="F4" s="21">
        <v>1728181.1980000001</v>
      </c>
      <c r="G4" s="21">
        <v>2002604.183</v>
      </c>
      <c r="H4" s="25">
        <v>86.3</v>
      </c>
      <c r="I4" s="26">
        <v>9184.0030000000006</v>
      </c>
      <c r="J4" s="27">
        <v>0</v>
      </c>
      <c r="K4" s="25">
        <v>9184.0030000000006</v>
      </c>
      <c r="L4" s="26">
        <v>172818.11979999999</v>
      </c>
      <c r="M4" s="27">
        <v>10516.844824</v>
      </c>
      <c r="N4" s="27">
        <v>0</v>
      </c>
      <c r="O4" s="25">
        <v>183334.96462399999</v>
      </c>
      <c r="P4" s="27">
        <v>219738.88</v>
      </c>
      <c r="Q4" s="25">
        <v>83.43</v>
      </c>
    </row>
    <row r="5" spans="1:17" ht="23.1" customHeight="1" x14ac:dyDescent="0.25">
      <c r="A5" s="43" t="s">
        <v>20</v>
      </c>
      <c r="B5" s="64">
        <v>10196</v>
      </c>
      <c r="C5" s="64">
        <v>19249.866666666701</v>
      </c>
      <c r="D5" s="53">
        <v>10042.878000000001</v>
      </c>
      <c r="E5" s="75">
        <v>1605622</v>
      </c>
      <c r="F5" s="64">
        <v>1616320.335</v>
      </c>
      <c r="G5" s="64">
        <v>1831390.3729999999</v>
      </c>
      <c r="H5" s="84">
        <v>88.26</v>
      </c>
      <c r="I5" s="93">
        <v>6903.5200999999997</v>
      </c>
      <c r="J5" s="102">
        <v>321.64255900000001</v>
      </c>
      <c r="K5" s="84">
        <v>7225.1626589999996</v>
      </c>
      <c r="L5" s="93">
        <v>161632.03349999999</v>
      </c>
      <c r="M5" s="102">
        <v>7953.3610935999995</v>
      </c>
      <c r="N5" s="102">
        <v>309.31142235099998</v>
      </c>
      <c r="O5" s="84">
        <v>169894.706015951</v>
      </c>
      <c r="P5" s="102">
        <v>251071.95</v>
      </c>
      <c r="Q5" s="84">
        <v>67.67</v>
      </c>
    </row>
    <row r="6" spans="1:17" ht="23.1" customHeight="1" x14ac:dyDescent="0.25">
      <c r="A6" s="45" t="s">
        <v>21</v>
      </c>
      <c r="B6" s="29">
        <v>10947</v>
      </c>
      <c r="C6" s="29">
        <v>20419.383333333299</v>
      </c>
      <c r="D6" s="28">
        <v>10572.9548750822</v>
      </c>
      <c r="E6" s="30">
        <v>1604684</v>
      </c>
      <c r="F6" s="29">
        <v>1604017.51987815</v>
      </c>
      <c r="G6" s="29">
        <v>1924721.2680190699</v>
      </c>
      <c r="H6" s="31">
        <v>83.34</v>
      </c>
      <c r="I6" s="32">
        <v>7110.1390000000001</v>
      </c>
      <c r="J6" s="33">
        <v>322.47895699999998</v>
      </c>
      <c r="K6" s="31">
        <v>7432.6179570000004</v>
      </c>
      <c r="L6" s="32">
        <v>160401.75198781499</v>
      </c>
      <c r="M6" s="33">
        <v>8332.7911115136994</v>
      </c>
      <c r="N6" s="33">
        <v>300.03862519299997</v>
      </c>
      <c r="O6" s="31">
        <v>169034.581724522</v>
      </c>
      <c r="P6" s="33">
        <v>264323.87187705497</v>
      </c>
      <c r="Q6" s="31">
        <v>63.95</v>
      </c>
    </row>
    <row r="7" spans="1:17" ht="23.1" customHeight="1" x14ac:dyDescent="0.25">
      <c r="A7" s="43" t="s">
        <v>22</v>
      </c>
      <c r="B7" s="64">
        <v>10265</v>
      </c>
      <c r="C7" s="64">
        <v>19013.45</v>
      </c>
      <c r="D7" s="53">
        <v>9800.2682742901106</v>
      </c>
      <c r="E7" s="75">
        <v>1460627</v>
      </c>
      <c r="F7" s="64">
        <v>1451110.7684496399</v>
      </c>
      <c r="G7" s="64">
        <v>1792098.5875204799</v>
      </c>
      <c r="H7" s="84">
        <v>80.97</v>
      </c>
      <c r="I7" s="93">
        <v>6905.5950220000004</v>
      </c>
      <c r="J7" s="102">
        <v>0</v>
      </c>
      <c r="K7" s="84">
        <v>6905.5950220000004</v>
      </c>
      <c r="L7" s="93">
        <v>145111.07684496301</v>
      </c>
      <c r="M7" s="102">
        <v>7475.1948112689997</v>
      </c>
      <c r="N7" s="102">
        <v>0</v>
      </c>
      <c r="O7" s="84">
        <v>152586.27165623201</v>
      </c>
      <c r="P7" s="102">
        <v>245006.70685725199</v>
      </c>
      <c r="Q7" s="84">
        <v>62.28</v>
      </c>
    </row>
    <row r="8" spans="1:17" ht="30" customHeight="1" x14ac:dyDescent="0.25">
      <c r="A8" s="45" t="s">
        <v>23</v>
      </c>
      <c r="B8" s="29">
        <v>11616</v>
      </c>
      <c r="C8" s="29">
        <v>21999.683333333302</v>
      </c>
      <c r="D8" s="28">
        <v>11556.960643</v>
      </c>
      <c r="E8" s="30">
        <v>1788544</v>
      </c>
      <c r="F8" s="29">
        <v>1829036.8111320001</v>
      </c>
      <c r="G8" s="29">
        <v>2114765.7004240002</v>
      </c>
      <c r="H8" s="31">
        <v>86.49</v>
      </c>
      <c r="I8" s="32">
        <v>7837.4792356776397</v>
      </c>
      <c r="J8" s="33">
        <v>0</v>
      </c>
      <c r="K8" s="31">
        <v>7837.4792356776397</v>
      </c>
      <c r="L8" s="32">
        <v>182903.6811132</v>
      </c>
      <c r="M8" s="33">
        <v>8926.9684388232599</v>
      </c>
      <c r="N8" s="33">
        <v>0</v>
      </c>
      <c r="O8" s="31">
        <v>191830.649552024</v>
      </c>
      <c r="P8" s="33">
        <v>288924.016074999</v>
      </c>
      <c r="Q8" s="31">
        <v>66.39</v>
      </c>
    </row>
    <row r="9" spans="1:17" ht="23.1" customHeight="1" x14ac:dyDescent="0.25">
      <c r="A9" s="43" t="s">
        <v>39</v>
      </c>
      <c r="B9" s="64">
        <v>10003</v>
      </c>
      <c r="C9" s="64">
        <v>19091.716667000001</v>
      </c>
      <c r="D9" s="53">
        <v>10048.8717</v>
      </c>
      <c r="E9" s="75">
        <v>1577340</v>
      </c>
      <c r="F9" s="64">
        <v>1615916.88</v>
      </c>
      <c r="G9" s="64">
        <v>1848920.25</v>
      </c>
      <c r="H9" s="84">
        <v>87.4</v>
      </c>
      <c r="I9" s="93">
        <v>7816.2918600000003</v>
      </c>
      <c r="J9" s="102">
        <v>484.69389999999999</v>
      </c>
      <c r="K9" s="84">
        <v>8300.9857599999996</v>
      </c>
      <c r="L9" s="93">
        <v>161591.68799999999</v>
      </c>
      <c r="M9" s="102">
        <v>9183.7321300000003</v>
      </c>
      <c r="N9" s="102">
        <v>96.530839999999998</v>
      </c>
      <c r="O9" s="84">
        <v>170871.95097000001</v>
      </c>
      <c r="P9" s="102">
        <v>251221.79199999999</v>
      </c>
      <c r="Q9" s="84">
        <v>68.02</v>
      </c>
    </row>
    <row r="10" spans="1:17" ht="23.1" customHeight="1" x14ac:dyDescent="0.25">
      <c r="A10" s="45" t="s">
        <v>24</v>
      </c>
      <c r="B10" s="29">
        <v>8366</v>
      </c>
      <c r="C10" s="29">
        <v>15770.916667</v>
      </c>
      <c r="D10" s="28">
        <v>8230.3110749999996</v>
      </c>
      <c r="E10" s="30">
        <v>1302423</v>
      </c>
      <c r="F10" s="29">
        <v>1307901.2429299999</v>
      </c>
      <c r="G10" s="29">
        <v>1523459.57922</v>
      </c>
      <c r="H10" s="31">
        <v>85.85</v>
      </c>
      <c r="I10" s="32">
        <v>7257.831725</v>
      </c>
      <c r="J10" s="33">
        <v>270.46437900000001</v>
      </c>
      <c r="K10" s="31">
        <v>7528.296104</v>
      </c>
      <c r="L10" s="32">
        <v>130790.124293</v>
      </c>
      <c r="M10" s="33">
        <v>8489.9926230000001</v>
      </c>
      <c r="N10" s="33">
        <v>67.177852999999999</v>
      </c>
      <c r="O10" s="31">
        <v>139347.294769</v>
      </c>
      <c r="P10" s="33">
        <v>205757.77687500001</v>
      </c>
      <c r="Q10" s="31">
        <v>67.72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72663</v>
      </c>
      <c r="C16" s="36">
        <f t="shared" si="0"/>
        <v>136690.3500006666</v>
      </c>
      <c r="D16" s="36">
        <f t="shared" si="0"/>
        <v>71239.188567372315</v>
      </c>
      <c r="E16" s="36">
        <f t="shared" si="0"/>
        <v>11076116</v>
      </c>
      <c r="F16" s="36">
        <f t="shared" si="0"/>
        <v>11152484.755389789</v>
      </c>
      <c r="G16" s="36">
        <f t="shared" si="0"/>
        <v>13037959.94118355</v>
      </c>
      <c r="H16" s="37">
        <f>IFERROR(F16/G16*100,"")</f>
        <v>85.538572028910508</v>
      </c>
      <c r="I16" s="37">
        <f t="shared" ref="I16:P16" si="1">IFERROR(SUM(I4:I15),"")</f>
        <v>53014.859942677635</v>
      </c>
      <c r="J16" s="37">
        <f t="shared" si="1"/>
        <v>1399.2797949999999</v>
      </c>
      <c r="K16" s="37">
        <f t="shared" si="1"/>
        <v>54414.139737677637</v>
      </c>
      <c r="L16" s="37">
        <f t="shared" si="1"/>
        <v>1115248.4755389781</v>
      </c>
      <c r="M16" s="37">
        <f t="shared" si="1"/>
        <v>60878.885032205959</v>
      </c>
      <c r="N16" s="37">
        <f t="shared" si="1"/>
        <v>773.05874054399999</v>
      </c>
      <c r="O16" s="37">
        <f t="shared" si="1"/>
        <v>1176900.419311729</v>
      </c>
      <c r="P16" s="38">
        <f t="shared" si="1"/>
        <v>1726044.9936843058</v>
      </c>
      <c r="Q16" s="38">
        <f>IFERROR(O16/P16*100,"")</f>
        <v>68.184805356643238</v>
      </c>
    </row>
    <row r="17" spans="1:17" ht="20.100000000000001" customHeight="1" x14ac:dyDescent="0.25">
      <c r="A17" s="136" t="s">
        <v>43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46" t="s">
        <v>42</v>
      </c>
      <c r="B20" s="147"/>
      <c r="C20" s="148" t="s">
        <v>33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9" t="s">
        <v>41</v>
      </c>
      <c r="P20" s="149"/>
      <c r="Q20" s="150"/>
    </row>
    <row r="21" spans="1:17" ht="51" customHeight="1" x14ac:dyDescent="0.25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37</v>
      </c>
      <c r="I21" s="151" t="s">
        <v>6</v>
      </c>
      <c r="J21" s="151"/>
      <c r="K21" s="151"/>
      <c r="L21" s="151" t="s">
        <v>7</v>
      </c>
      <c r="M21" s="151"/>
      <c r="N21" s="151"/>
      <c r="O21" s="151"/>
      <c r="P21" s="152" t="s">
        <v>8</v>
      </c>
      <c r="Q21" s="152" t="s">
        <v>38</v>
      </c>
    </row>
    <row r="22" spans="1:17" ht="150.75" customHeight="1" x14ac:dyDescent="0.25">
      <c r="A22" s="151"/>
      <c r="B22" s="19" t="s">
        <v>9</v>
      </c>
      <c r="C22" s="19" t="s">
        <v>10</v>
      </c>
      <c r="D22" s="19" t="s">
        <v>11</v>
      </c>
      <c r="E22" s="152"/>
      <c r="F22" s="152"/>
      <c r="G22" s="152"/>
      <c r="H22" s="152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3"/>
      <c r="Q22" s="153"/>
    </row>
    <row r="23" spans="1:17" ht="23.1" customHeight="1" x14ac:dyDescent="0.25">
      <c r="A23" s="15" t="s">
        <v>19</v>
      </c>
      <c r="B23" s="7">
        <v>3603</v>
      </c>
      <c r="C23" s="8">
        <v>15000.083333333299</v>
      </c>
      <c r="D23" s="9">
        <v>9740.4942223744401</v>
      </c>
      <c r="E23" s="7">
        <v>588317</v>
      </c>
      <c r="F23" s="8">
        <v>1590794.94140669</v>
      </c>
      <c r="G23" s="8">
        <v>1791836.58709854</v>
      </c>
      <c r="H23" s="10">
        <v>88.78</v>
      </c>
      <c r="I23" s="11">
        <v>2226.3829999999998</v>
      </c>
      <c r="J23" s="11">
        <v>0</v>
      </c>
      <c r="K23" s="11">
        <v>2226.3829999999998</v>
      </c>
      <c r="L23" s="12">
        <v>122965.56109077101</v>
      </c>
      <c r="M23" s="11">
        <v>6181.1686916624803</v>
      </c>
      <c r="N23" s="11">
        <v>0</v>
      </c>
      <c r="O23" s="14">
        <v>129146.729782433</v>
      </c>
      <c r="P23" s="12">
        <v>194809.88444748899</v>
      </c>
      <c r="Q23" s="14">
        <v>66.290000000000006</v>
      </c>
    </row>
    <row r="24" spans="1:17" ht="23.1" customHeight="1" x14ac:dyDescent="0.25">
      <c r="A24" s="51" t="s">
        <v>20</v>
      </c>
      <c r="B24" s="51">
        <v>3190</v>
      </c>
      <c r="C24" s="50">
        <v>13265.25</v>
      </c>
      <c r="D24" s="52">
        <v>8631.60834623546</v>
      </c>
      <c r="E24" s="51">
        <v>499213</v>
      </c>
      <c r="F24" s="50">
        <v>1345341.1230728501</v>
      </c>
      <c r="G24" s="50">
        <v>1584026.18951142</v>
      </c>
      <c r="H24" s="54">
        <v>84.93</v>
      </c>
      <c r="I24" s="55">
        <v>2073.9775</v>
      </c>
      <c r="J24" s="55">
        <v>10.388</v>
      </c>
      <c r="K24" s="55">
        <v>2084.3654999999999</v>
      </c>
      <c r="L24" s="56">
        <v>100900.584230464</v>
      </c>
      <c r="M24" s="55">
        <v>5756.1993173825003</v>
      </c>
      <c r="N24" s="55">
        <v>23.266342919341501</v>
      </c>
      <c r="O24" s="54">
        <v>106680.049890765</v>
      </c>
      <c r="P24" s="56">
        <v>172632.16692471001</v>
      </c>
      <c r="Q24" s="54">
        <v>61.8</v>
      </c>
    </row>
    <row r="25" spans="1:17" ht="23.1" customHeight="1" x14ac:dyDescent="0.25">
      <c r="A25" s="15" t="s">
        <v>21</v>
      </c>
      <c r="B25" s="15">
        <v>1263</v>
      </c>
      <c r="C25" s="6">
        <v>5113.6666666666697</v>
      </c>
      <c r="D25" s="16">
        <v>3247.6772980769301</v>
      </c>
      <c r="E25" s="15">
        <v>168446</v>
      </c>
      <c r="F25" s="6">
        <v>436154.82509427401</v>
      </c>
      <c r="G25" s="6">
        <v>590700.70995826903</v>
      </c>
      <c r="H25" s="10">
        <v>73.84</v>
      </c>
      <c r="I25" s="17">
        <v>808.28300000000002</v>
      </c>
      <c r="J25" s="17">
        <v>0</v>
      </c>
      <c r="K25" s="17">
        <v>808.28300000000002</v>
      </c>
      <c r="L25" s="18">
        <v>33235.579281686303</v>
      </c>
      <c r="M25" s="17">
        <v>2121.72277895973</v>
      </c>
      <c r="N25" s="17">
        <v>0</v>
      </c>
      <c r="O25" s="10">
        <v>35357.302060645998</v>
      </c>
      <c r="P25" s="18">
        <v>81191.932451923203</v>
      </c>
      <c r="Q25" s="10">
        <v>43.55</v>
      </c>
    </row>
    <row r="26" spans="1:17" ht="23.1" customHeight="1" x14ac:dyDescent="0.25">
      <c r="A26" s="51" t="s">
        <v>22</v>
      </c>
      <c r="B26" s="51">
        <v>1288</v>
      </c>
      <c r="C26" s="50">
        <v>5256</v>
      </c>
      <c r="D26" s="52">
        <v>3429.9837603229898</v>
      </c>
      <c r="E26" s="51">
        <v>187157</v>
      </c>
      <c r="F26" s="50">
        <v>489030.08340410999</v>
      </c>
      <c r="G26" s="50">
        <v>619107.01634895406</v>
      </c>
      <c r="H26" s="54">
        <v>78.989999999999995</v>
      </c>
      <c r="I26" s="55">
        <v>890.03240000000005</v>
      </c>
      <c r="J26" s="55">
        <v>0</v>
      </c>
      <c r="K26" s="55">
        <v>890.03240000000005</v>
      </c>
      <c r="L26" s="56">
        <v>36837.8362528664</v>
      </c>
      <c r="M26" s="55">
        <v>2190.8622889624598</v>
      </c>
      <c r="N26" s="55">
        <v>0</v>
      </c>
      <c r="O26" s="54">
        <v>39028.698541828802</v>
      </c>
      <c r="P26" s="56">
        <v>85749.594008074593</v>
      </c>
      <c r="Q26" s="54">
        <v>45.51</v>
      </c>
    </row>
    <row r="27" spans="1:17" ht="30" customHeight="1" x14ac:dyDescent="0.25">
      <c r="A27" s="15" t="s">
        <v>23</v>
      </c>
      <c r="B27" s="15">
        <v>2111</v>
      </c>
      <c r="C27" s="6">
        <v>8743.3333333333303</v>
      </c>
      <c r="D27" s="16">
        <v>5658.6879799999997</v>
      </c>
      <c r="E27" s="15">
        <v>292149</v>
      </c>
      <c r="F27" s="6">
        <v>770842.43408000004</v>
      </c>
      <c r="G27" s="6">
        <v>1029354.80675</v>
      </c>
      <c r="H27" s="10">
        <v>74.89</v>
      </c>
      <c r="I27" s="17">
        <v>1581.847262</v>
      </c>
      <c r="J27" s="17">
        <v>0</v>
      </c>
      <c r="K27" s="17">
        <v>1581.847262</v>
      </c>
      <c r="L27" s="18">
        <v>55657.755939000002</v>
      </c>
      <c r="M27" s="17">
        <v>4327.78190441878</v>
      </c>
      <c r="N27" s="17">
        <v>0</v>
      </c>
      <c r="O27" s="10">
        <v>59985.537843418802</v>
      </c>
      <c r="P27" s="18">
        <v>141467.19949999999</v>
      </c>
      <c r="Q27" s="10">
        <v>42.4</v>
      </c>
    </row>
    <row r="28" spans="1:17" ht="23.1" customHeight="1" x14ac:dyDescent="0.25">
      <c r="A28" s="51" t="s">
        <v>39</v>
      </c>
      <c r="B28" s="51">
        <v>2658</v>
      </c>
      <c r="C28" s="50">
        <v>11101.916667</v>
      </c>
      <c r="D28" s="52">
        <v>7211.2808699999996</v>
      </c>
      <c r="E28" s="51">
        <v>354883</v>
      </c>
      <c r="F28" s="50">
        <v>961984.94400000002</v>
      </c>
      <c r="G28" s="50">
        <v>1320793.06</v>
      </c>
      <c r="H28" s="54">
        <v>72.83</v>
      </c>
      <c r="I28" s="55">
        <v>2128.3875600000001</v>
      </c>
      <c r="J28" s="55">
        <v>11.104200000000001</v>
      </c>
      <c r="K28" s="55">
        <v>2139.4917599999999</v>
      </c>
      <c r="L28" s="56">
        <v>67822.809899999993</v>
      </c>
      <c r="M28" s="55">
        <v>5866.9908999999998</v>
      </c>
      <c r="N28" s="55">
        <v>21.415890000000001</v>
      </c>
      <c r="O28" s="54">
        <v>73711.216690000001</v>
      </c>
      <c r="P28" s="56">
        <v>180282.02100000001</v>
      </c>
      <c r="Q28" s="54">
        <v>40.89</v>
      </c>
    </row>
    <row r="29" spans="1:17" ht="23.1" customHeight="1" x14ac:dyDescent="0.25">
      <c r="A29" s="15" t="s">
        <v>40</v>
      </c>
      <c r="B29" s="15">
        <v>3518</v>
      </c>
      <c r="C29" s="6">
        <v>14671.5</v>
      </c>
      <c r="D29" s="16">
        <v>9546.0364800000007</v>
      </c>
      <c r="E29" s="15">
        <v>495175</v>
      </c>
      <c r="F29" s="6">
        <v>1347168.05993</v>
      </c>
      <c r="G29" s="6">
        <v>1758711.7404799999</v>
      </c>
      <c r="H29" s="10">
        <v>76.599999999999994</v>
      </c>
      <c r="I29" s="17">
        <v>2965.966437</v>
      </c>
      <c r="J29" s="17">
        <v>16.407299999999999</v>
      </c>
      <c r="K29" s="17">
        <v>2982.3737369999999</v>
      </c>
      <c r="L29" s="18">
        <v>100641.92537300001</v>
      </c>
      <c r="M29" s="17">
        <v>8122.6994219999997</v>
      </c>
      <c r="N29" s="17">
        <v>19.015998</v>
      </c>
      <c r="O29" s="10">
        <v>108783.640793</v>
      </c>
      <c r="P29" s="18">
        <v>238650.91200000001</v>
      </c>
      <c r="Q29" s="10">
        <v>45.58</v>
      </c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17631</v>
      </c>
      <c r="C35" s="3">
        <f t="shared" si="2"/>
        <v>73151.750000333297</v>
      </c>
      <c r="D35" s="3">
        <f t="shared" si="2"/>
        <v>47465.768957009823</v>
      </c>
      <c r="E35" s="3">
        <f t="shared" si="2"/>
        <v>2585340</v>
      </c>
      <c r="F35" s="3">
        <f t="shared" si="2"/>
        <v>6941316.4109879248</v>
      </c>
      <c r="G35" s="3">
        <f t="shared" si="2"/>
        <v>8694530.1101471838</v>
      </c>
      <c r="H35" s="4">
        <f>IFERROR(F35/G35*100,"")</f>
        <v>79.835440478685285</v>
      </c>
      <c r="I35" s="5">
        <f t="shared" ref="I35:P35" si="3">IFERROR(SUM(I23:I34),"")</f>
        <v>12674.877159</v>
      </c>
      <c r="J35" s="5">
        <f t="shared" si="3"/>
        <v>37.899500000000003</v>
      </c>
      <c r="K35" s="5">
        <f t="shared" si="3"/>
        <v>12712.776659000001</v>
      </c>
      <c r="L35" s="5">
        <f t="shared" si="3"/>
        <v>518062.05206778774</v>
      </c>
      <c r="M35" s="5">
        <f t="shared" si="3"/>
        <v>34567.425303385957</v>
      </c>
      <c r="N35" s="5">
        <f t="shared" si="3"/>
        <v>63.698230919341498</v>
      </c>
      <c r="O35" s="5">
        <f t="shared" si="3"/>
        <v>552693.17560209159</v>
      </c>
      <c r="P35" s="5">
        <f t="shared" si="3"/>
        <v>1094783.7103321967</v>
      </c>
      <c r="Q35" s="5">
        <f>IFERROR(O35/P35*100,"")</f>
        <v>50.484234500930292</v>
      </c>
    </row>
    <row r="36" spans="1:17" ht="15.75" x14ac:dyDescent="0.25">
      <c r="A36" s="136" t="s">
        <v>43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38" t="s">
        <v>42</v>
      </c>
      <c r="B39" s="139"/>
      <c r="C39" s="140" t="s">
        <v>34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 t="s">
        <v>41</v>
      </c>
      <c r="P39" s="141"/>
      <c r="Q39" s="142"/>
    </row>
    <row r="40" spans="1:17" ht="39.75" customHeight="1" x14ac:dyDescent="0.25">
      <c r="A40" s="143" t="s">
        <v>1</v>
      </c>
      <c r="B40" s="143" t="s">
        <v>2</v>
      </c>
      <c r="C40" s="143"/>
      <c r="D40" s="143"/>
      <c r="E40" s="144" t="s">
        <v>3</v>
      </c>
      <c r="F40" s="144" t="s">
        <v>4</v>
      </c>
      <c r="G40" s="144" t="s">
        <v>5</v>
      </c>
      <c r="H40" s="144" t="s">
        <v>37</v>
      </c>
      <c r="I40" s="143" t="s">
        <v>6</v>
      </c>
      <c r="J40" s="143"/>
      <c r="K40" s="143"/>
      <c r="L40" s="143" t="s">
        <v>7</v>
      </c>
      <c r="M40" s="143"/>
      <c r="N40" s="143"/>
      <c r="O40" s="143"/>
      <c r="P40" s="144" t="s">
        <v>8</v>
      </c>
      <c r="Q40" s="144" t="s">
        <v>38</v>
      </c>
    </row>
    <row r="41" spans="1:17" ht="178.5" customHeight="1" x14ac:dyDescent="0.25">
      <c r="A41" s="143"/>
      <c r="B41" s="40" t="s">
        <v>9</v>
      </c>
      <c r="C41" s="40" t="s">
        <v>10</v>
      </c>
      <c r="D41" s="40" t="s">
        <v>11</v>
      </c>
      <c r="E41" s="145"/>
      <c r="F41" s="145"/>
      <c r="G41" s="145"/>
      <c r="H41" s="145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45"/>
      <c r="Q41" s="145"/>
    </row>
    <row r="42" spans="1:17" ht="25.5" customHeight="1" x14ac:dyDescent="0.25">
      <c r="A42" s="46" t="s">
        <v>19</v>
      </c>
      <c r="B42" s="103">
        <v>26</v>
      </c>
      <c r="C42" s="104">
        <v>23.8333333333333</v>
      </c>
      <c r="D42" s="105">
        <v>8.2420000000000009</v>
      </c>
      <c r="E42" s="103">
        <v>3567</v>
      </c>
      <c r="F42" s="104">
        <v>1130.739</v>
      </c>
      <c r="G42" s="104">
        <v>1557.7380000000001</v>
      </c>
      <c r="H42" s="106">
        <v>72.59</v>
      </c>
      <c r="I42" s="107">
        <v>0</v>
      </c>
      <c r="J42" s="108">
        <v>0</v>
      </c>
      <c r="K42" s="106">
        <v>0</v>
      </c>
      <c r="L42" s="107">
        <v>84.805425</v>
      </c>
      <c r="M42" s="108">
        <v>0</v>
      </c>
      <c r="N42" s="108">
        <v>0</v>
      </c>
      <c r="O42" s="106">
        <v>84.805425</v>
      </c>
      <c r="P42" s="107">
        <v>164.84</v>
      </c>
      <c r="Q42" s="106">
        <v>51.45</v>
      </c>
    </row>
    <row r="43" spans="1:17" ht="25.5" customHeight="1" x14ac:dyDescent="0.25">
      <c r="A43" s="47" t="s">
        <v>20</v>
      </c>
      <c r="B43" s="63">
        <v>28</v>
      </c>
      <c r="C43" s="65">
        <v>27.75</v>
      </c>
      <c r="D43" s="66">
        <v>4.76</v>
      </c>
      <c r="E43" s="63">
        <v>3949</v>
      </c>
      <c r="F43" s="65">
        <v>1327.3979999999999</v>
      </c>
      <c r="G43" s="65">
        <v>1793.232</v>
      </c>
      <c r="H43" s="67">
        <v>74.02</v>
      </c>
      <c r="I43" s="68">
        <v>0</v>
      </c>
      <c r="J43" s="69">
        <v>0</v>
      </c>
      <c r="K43" s="67">
        <v>0</v>
      </c>
      <c r="L43" s="68">
        <v>99.554850000000002</v>
      </c>
      <c r="M43" s="69">
        <v>0</v>
      </c>
      <c r="N43" s="69">
        <v>0</v>
      </c>
      <c r="O43" s="67">
        <v>99.554850000000002</v>
      </c>
      <c r="P43" s="68">
        <v>189.76</v>
      </c>
      <c r="Q43" s="67">
        <v>52.46</v>
      </c>
    </row>
    <row r="44" spans="1:17" ht="25.5" customHeight="1" x14ac:dyDescent="0.25">
      <c r="A44" s="46" t="s">
        <v>21</v>
      </c>
      <c r="B44" s="109">
        <v>35</v>
      </c>
      <c r="C44" s="110">
        <v>38.9166666666667</v>
      </c>
      <c r="D44" s="111">
        <v>5.5730000000000004</v>
      </c>
      <c r="E44" s="109">
        <v>4127</v>
      </c>
      <c r="F44" s="110">
        <v>1371.6510000000001</v>
      </c>
      <c r="G44" s="110">
        <v>3617.3440000000001</v>
      </c>
      <c r="H44" s="112">
        <v>37.92</v>
      </c>
      <c r="I44" s="113">
        <v>0</v>
      </c>
      <c r="J44" s="114">
        <v>0</v>
      </c>
      <c r="K44" s="112">
        <v>0</v>
      </c>
      <c r="L44" s="113">
        <v>102.873825</v>
      </c>
      <c r="M44" s="114">
        <v>0</v>
      </c>
      <c r="N44" s="114">
        <v>0</v>
      </c>
      <c r="O44" s="112">
        <v>102.873825</v>
      </c>
      <c r="P44" s="113">
        <v>311.83999999999997</v>
      </c>
      <c r="Q44" s="112">
        <v>32.99</v>
      </c>
    </row>
    <row r="45" spans="1:17" ht="25.5" customHeight="1" x14ac:dyDescent="0.25">
      <c r="A45" s="47" t="s">
        <v>22</v>
      </c>
      <c r="B45" s="63">
        <v>41</v>
      </c>
      <c r="C45" s="70">
        <v>50.5833333333333</v>
      </c>
      <c r="D45" s="66">
        <v>23.983000000000001</v>
      </c>
      <c r="E45" s="63">
        <v>4041</v>
      </c>
      <c r="F45" s="65">
        <v>2185.0940000000001</v>
      </c>
      <c r="G45" s="65">
        <v>4518.174</v>
      </c>
      <c r="H45" s="67">
        <v>48.36</v>
      </c>
      <c r="I45" s="68">
        <v>0</v>
      </c>
      <c r="J45" s="69">
        <v>0</v>
      </c>
      <c r="K45" s="67">
        <v>0</v>
      </c>
      <c r="L45" s="68">
        <v>163.88204999999999</v>
      </c>
      <c r="M45" s="69">
        <v>0</v>
      </c>
      <c r="N45" s="69">
        <v>0</v>
      </c>
      <c r="O45" s="67">
        <v>163.88204999999999</v>
      </c>
      <c r="P45" s="68">
        <v>479.66</v>
      </c>
      <c r="Q45" s="67">
        <v>34.17</v>
      </c>
    </row>
    <row r="46" spans="1:17" ht="25.5" customHeight="1" x14ac:dyDescent="0.25">
      <c r="A46" s="46" t="s">
        <v>23</v>
      </c>
      <c r="B46" s="109">
        <v>34</v>
      </c>
      <c r="C46" s="115">
        <v>35.75</v>
      </c>
      <c r="D46" s="111">
        <v>14.353</v>
      </c>
      <c r="E46" s="109">
        <v>3972</v>
      </c>
      <c r="F46" s="110">
        <v>1540.8440000000001</v>
      </c>
      <c r="G46" s="110">
        <v>2712.7170000000001</v>
      </c>
      <c r="H46" s="112">
        <v>56.8</v>
      </c>
      <c r="I46" s="113">
        <v>0</v>
      </c>
      <c r="J46" s="114">
        <v>0</v>
      </c>
      <c r="K46" s="112">
        <v>0</v>
      </c>
      <c r="L46" s="113">
        <v>115.5633</v>
      </c>
      <c r="M46" s="114">
        <v>0</v>
      </c>
      <c r="N46" s="114">
        <v>0</v>
      </c>
      <c r="O46" s="112">
        <v>115.5633</v>
      </c>
      <c r="P46" s="113">
        <v>287.06</v>
      </c>
      <c r="Q46" s="112">
        <v>40.26</v>
      </c>
    </row>
    <row r="47" spans="1:17" ht="25.5" customHeight="1" x14ac:dyDescent="0.25">
      <c r="A47" s="47" t="s">
        <v>39</v>
      </c>
      <c r="B47" s="71">
        <v>42</v>
      </c>
      <c r="C47" s="72">
        <v>45.7</v>
      </c>
      <c r="D47" s="66">
        <v>18.498000000000001</v>
      </c>
      <c r="E47" s="71">
        <v>6563</v>
      </c>
      <c r="F47" s="72">
        <v>2976.3310000000001</v>
      </c>
      <c r="G47" s="72">
        <v>3496.1219999999998</v>
      </c>
      <c r="H47" s="67">
        <v>85.13</v>
      </c>
      <c r="I47" s="73">
        <v>0</v>
      </c>
      <c r="J47" s="74">
        <v>0</v>
      </c>
      <c r="K47" s="67">
        <v>0</v>
      </c>
      <c r="L47" s="73">
        <v>223.22481999999999</v>
      </c>
      <c r="M47" s="74">
        <v>0</v>
      </c>
      <c r="N47" s="74">
        <v>0</v>
      </c>
      <c r="O47" s="67">
        <v>223.22481999999999</v>
      </c>
      <c r="P47" s="73">
        <v>369.96</v>
      </c>
      <c r="Q47" s="67">
        <v>60.34</v>
      </c>
    </row>
    <row r="48" spans="1:17" ht="25.5" customHeight="1" x14ac:dyDescent="0.25">
      <c r="A48" s="46" t="s">
        <v>40</v>
      </c>
      <c r="B48" s="116">
        <v>60</v>
      </c>
      <c r="C48" s="117">
        <v>70.3</v>
      </c>
      <c r="D48" s="118">
        <v>30.036000000000001</v>
      </c>
      <c r="E48" s="116">
        <v>9647</v>
      </c>
      <c r="F48" s="117">
        <v>4936.9750000000004</v>
      </c>
      <c r="G48" s="117">
        <v>5676.8040000000001</v>
      </c>
      <c r="H48" s="112">
        <v>86.97</v>
      </c>
      <c r="I48" s="119">
        <v>0</v>
      </c>
      <c r="J48" s="120">
        <v>0</v>
      </c>
      <c r="K48" s="112">
        <v>0</v>
      </c>
      <c r="L48" s="119">
        <v>370.27312499999999</v>
      </c>
      <c r="M48" s="120">
        <v>0</v>
      </c>
      <c r="N48" s="120">
        <v>0</v>
      </c>
      <c r="O48" s="112">
        <v>370.27312499999999</v>
      </c>
      <c r="P48" s="119">
        <v>600.72</v>
      </c>
      <c r="Q48" s="112">
        <v>61.64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266</v>
      </c>
      <c r="C54" s="123">
        <f t="shared" si="4"/>
        <v>292.83333333333331</v>
      </c>
      <c r="D54" s="123">
        <f t="shared" si="4"/>
        <v>105.44500000000001</v>
      </c>
      <c r="E54" s="123">
        <f t="shared" si="4"/>
        <v>35866</v>
      </c>
      <c r="F54" s="123">
        <f t="shared" si="4"/>
        <v>15469.032000000001</v>
      </c>
      <c r="G54" s="123">
        <f t="shared" si="4"/>
        <v>23372.131000000001</v>
      </c>
      <c r="H54" s="124">
        <f>IFERROR(F54/G54*100,"")</f>
        <v>66.185800516007717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1160.1773949999999</v>
      </c>
      <c r="M54" s="124">
        <f t="shared" si="5"/>
        <v>0</v>
      </c>
      <c r="N54" s="124">
        <f t="shared" si="5"/>
        <v>0</v>
      </c>
      <c r="O54" s="124">
        <f t="shared" si="5"/>
        <v>1160.1773949999999</v>
      </c>
      <c r="P54" s="125">
        <f t="shared" si="5"/>
        <v>2403.84</v>
      </c>
      <c r="Q54" s="124">
        <f>IFERROR(O54/P54*100,"")</f>
        <v>48.263503186568151</v>
      </c>
    </row>
    <row r="55" spans="1:17" ht="22.5" customHeight="1" x14ac:dyDescent="0.25">
      <c r="A55" s="136" t="s">
        <v>43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28" t="s">
        <v>42</v>
      </c>
      <c r="B58" s="129"/>
      <c r="C58" s="130" t="s">
        <v>35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1" t="s">
        <v>41</v>
      </c>
      <c r="P58" s="131"/>
      <c r="Q58" s="132"/>
    </row>
    <row r="59" spans="1:17" ht="33.75" customHeight="1" x14ac:dyDescent="0.25">
      <c r="A59" s="133" t="s">
        <v>1</v>
      </c>
      <c r="B59" s="133" t="s">
        <v>2</v>
      </c>
      <c r="C59" s="133"/>
      <c r="D59" s="133"/>
      <c r="E59" s="134" t="s">
        <v>3</v>
      </c>
      <c r="F59" s="134" t="s">
        <v>4</v>
      </c>
      <c r="G59" s="134" t="s">
        <v>5</v>
      </c>
      <c r="H59" s="134" t="s">
        <v>37</v>
      </c>
      <c r="I59" s="133" t="s">
        <v>6</v>
      </c>
      <c r="J59" s="133"/>
      <c r="K59" s="133"/>
      <c r="L59" s="133" t="s">
        <v>7</v>
      </c>
      <c r="M59" s="133"/>
      <c r="N59" s="133"/>
      <c r="O59" s="133"/>
      <c r="P59" s="134" t="s">
        <v>8</v>
      </c>
      <c r="Q59" s="134" t="s">
        <v>38</v>
      </c>
    </row>
    <row r="60" spans="1:17" ht="164.25" customHeight="1" x14ac:dyDescent="0.25">
      <c r="A60" s="133"/>
      <c r="B60" s="39" t="s">
        <v>9</v>
      </c>
      <c r="C60" s="39" t="s">
        <v>10</v>
      </c>
      <c r="D60" s="39" t="s">
        <v>11</v>
      </c>
      <c r="E60" s="135"/>
      <c r="F60" s="135"/>
      <c r="G60" s="135"/>
      <c r="H60" s="135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35"/>
      <c r="Q60" s="135"/>
    </row>
    <row r="61" spans="1:17" ht="24.75" customHeight="1" x14ac:dyDescent="0.25">
      <c r="A61" s="48" t="s">
        <v>19</v>
      </c>
      <c r="B61" s="89">
        <v>6</v>
      </c>
      <c r="C61" s="90">
        <v>20.25</v>
      </c>
      <c r="D61" s="91">
        <v>20.802</v>
      </c>
      <c r="E61" s="89">
        <v>406</v>
      </c>
      <c r="F61" s="90">
        <v>1407.6020000000001</v>
      </c>
      <c r="G61" s="90">
        <v>3827.5680000000002</v>
      </c>
      <c r="H61" s="92">
        <v>36.78</v>
      </c>
      <c r="I61" s="94">
        <v>0</v>
      </c>
      <c r="J61" s="95">
        <v>0</v>
      </c>
      <c r="K61" s="95">
        <v>0</v>
      </c>
      <c r="L61" s="94">
        <v>105.57015</v>
      </c>
      <c r="M61" s="95">
        <v>0</v>
      </c>
      <c r="N61" s="95">
        <v>0</v>
      </c>
      <c r="O61" s="92">
        <v>105.57015</v>
      </c>
      <c r="P61" s="95">
        <v>416.04</v>
      </c>
      <c r="Q61" s="92">
        <v>25.37</v>
      </c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>
        <v>22</v>
      </c>
      <c r="C64" s="72">
        <v>45.8333333333333</v>
      </c>
      <c r="D64" s="76">
        <v>76.406000000000006</v>
      </c>
      <c r="E64" s="71">
        <v>3639</v>
      </c>
      <c r="F64" s="72">
        <v>12638.246999999999</v>
      </c>
      <c r="G64" s="72">
        <v>14440.734</v>
      </c>
      <c r="H64" s="67">
        <v>87.52</v>
      </c>
      <c r="I64" s="73">
        <v>0</v>
      </c>
      <c r="J64" s="74">
        <v>0</v>
      </c>
      <c r="K64" s="74">
        <v>0</v>
      </c>
      <c r="L64" s="73">
        <v>947.86852499999998</v>
      </c>
      <c r="M64" s="74">
        <v>0</v>
      </c>
      <c r="N64" s="74">
        <v>0</v>
      </c>
      <c r="O64" s="67">
        <v>947.86852499999998</v>
      </c>
      <c r="P64" s="74">
        <v>1528.12</v>
      </c>
      <c r="Q64" s="67">
        <v>62.03</v>
      </c>
    </row>
    <row r="65" spans="1:17" ht="24.75" customHeight="1" x14ac:dyDescent="0.25">
      <c r="A65" s="48" t="s">
        <v>23</v>
      </c>
      <c r="B65" s="96">
        <v>34</v>
      </c>
      <c r="C65" s="97">
        <v>90.3333333333333</v>
      </c>
      <c r="D65" s="98">
        <v>119.51</v>
      </c>
      <c r="E65" s="96">
        <v>5688</v>
      </c>
      <c r="F65" s="97">
        <v>19994.225999999999</v>
      </c>
      <c r="G65" s="97">
        <v>22587.39</v>
      </c>
      <c r="H65" s="99">
        <v>88.52</v>
      </c>
      <c r="I65" s="100">
        <v>0</v>
      </c>
      <c r="J65" s="101">
        <v>0</v>
      </c>
      <c r="K65" s="101">
        <v>0</v>
      </c>
      <c r="L65" s="100">
        <v>1499.5669499999999</v>
      </c>
      <c r="M65" s="101">
        <v>0</v>
      </c>
      <c r="N65" s="101">
        <v>0</v>
      </c>
      <c r="O65" s="99">
        <v>1499.5669499999999</v>
      </c>
      <c r="P65" s="101">
        <v>2390.1999999999998</v>
      </c>
      <c r="Q65" s="99">
        <v>62.74</v>
      </c>
    </row>
    <row r="66" spans="1:17" ht="24.75" customHeight="1" x14ac:dyDescent="0.25">
      <c r="A66" s="47" t="s">
        <v>39</v>
      </c>
      <c r="B66" s="71">
        <v>84</v>
      </c>
      <c r="C66" s="72">
        <v>287</v>
      </c>
      <c r="D66" s="76">
        <v>42.695099999999996</v>
      </c>
      <c r="E66" s="71">
        <v>13888</v>
      </c>
      <c r="F66" s="72">
        <v>32430.7032</v>
      </c>
      <c r="G66" s="72">
        <v>37136.628900000003</v>
      </c>
      <c r="H66" s="67">
        <v>87.33</v>
      </c>
      <c r="I66" s="73">
        <v>0</v>
      </c>
      <c r="J66" s="74">
        <v>0</v>
      </c>
      <c r="K66" s="74">
        <v>0</v>
      </c>
      <c r="L66" s="73">
        <v>2432.3027400000001</v>
      </c>
      <c r="M66" s="74">
        <v>0</v>
      </c>
      <c r="N66" s="74">
        <v>0</v>
      </c>
      <c r="O66" s="67">
        <v>2432.3027400000001</v>
      </c>
      <c r="P66" s="74">
        <v>3929.8020000000001</v>
      </c>
      <c r="Q66" s="67">
        <v>61.89</v>
      </c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146</v>
      </c>
      <c r="C73" s="87">
        <f t="shared" si="6"/>
        <v>443.41666666666663</v>
      </c>
      <c r="D73" s="87">
        <f t="shared" si="6"/>
        <v>259.41309999999999</v>
      </c>
      <c r="E73" s="87">
        <f t="shared" si="6"/>
        <v>23621</v>
      </c>
      <c r="F73" s="87">
        <f t="shared" si="6"/>
        <v>66470.778200000001</v>
      </c>
      <c r="G73" s="87">
        <f t="shared" si="6"/>
        <v>77992.320899999992</v>
      </c>
      <c r="H73" s="88">
        <f>IFERROR(F73/G73*100,"")</f>
        <v>85.227337041588171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4985.3083649999999</v>
      </c>
      <c r="M73" s="88">
        <f t="shared" si="7"/>
        <v>0</v>
      </c>
      <c r="N73" s="88">
        <f t="shared" si="7"/>
        <v>0</v>
      </c>
      <c r="O73" s="88">
        <f t="shared" si="7"/>
        <v>4985.3083649999999</v>
      </c>
      <c r="P73" s="88">
        <f t="shared" si="7"/>
        <v>8264.1620000000003</v>
      </c>
      <c r="Q73" s="88">
        <f>IFERROR(O73/P73*100,"")</f>
        <v>60.324426904990482</v>
      </c>
    </row>
    <row r="74" spans="1:17" ht="15.75" x14ac:dyDescent="0.25">
      <c r="A74" s="136" t="s">
        <v>43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2026-08-13T07:37:31Z</dcterms:modified>
</cp:coreProperties>
</file>
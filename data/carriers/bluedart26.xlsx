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ukesh office data\Nitin Soni, JSO\July 2026\Excel July 2026\"/>
    </mc:Choice>
  </mc:AlternateContent>
  <bookViews>
    <workbookView xWindow="0" yWindow="0" windowWidth="21570" windowHeight="8055"/>
  </bookViews>
  <sheets>
    <sheet name="Monthly_Template" sheetId="1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</workbook>
</file>

<file path=xl/calcChain.xml><?xml version="1.0" encoding="utf-8"?>
<calcChain xmlns="http://schemas.openxmlformats.org/spreadsheetml/2006/main">
  <c r="P73" i="1" l="1"/>
  <c r="O73" i="1"/>
  <c r="Q73" i="1" s="1"/>
  <c r="N73" i="1"/>
  <c r="M73" i="1"/>
  <c r="L73" i="1"/>
  <c r="K73" i="1"/>
  <c r="J73" i="1"/>
  <c r="I73" i="1"/>
  <c r="G73" i="1"/>
  <c r="F73" i="1"/>
  <c r="H73" i="1" s="1"/>
  <c r="E73" i="1"/>
  <c r="D73" i="1"/>
  <c r="C73" i="1"/>
  <c r="B73" i="1"/>
  <c r="P54" i="1"/>
  <c r="O54" i="1"/>
  <c r="Q54" i="1" s="1"/>
  <c r="N54" i="1"/>
  <c r="M54" i="1"/>
  <c r="L54" i="1"/>
  <c r="K54" i="1"/>
  <c r="J54" i="1"/>
  <c r="I54" i="1"/>
  <c r="G54" i="1"/>
  <c r="F54" i="1"/>
  <c r="H54" i="1" s="1"/>
  <c r="E54" i="1"/>
  <c r="D54" i="1"/>
  <c r="C54" i="1"/>
  <c r="B54" i="1"/>
  <c r="P35" i="1"/>
  <c r="O35" i="1"/>
  <c r="Q35" i="1" s="1"/>
  <c r="N35" i="1"/>
  <c r="M35" i="1"/>
  <c r="L35" i="1"/>
  <c r="K35" i="1"/>
  <c r="J35" i="1"/>
  <c r="I35" i="1"/>
  <c r="G35" i="1"/>
  <c r="F35" i="1"/>
  <c r="H35" i="1" s="1"/>
  <c r="E35" i="1"/>
  <c r="D35" i="1"/>
  <c r="C35" i="1"/>
  <c r="B35" i="1"/>
  <c r="P16" i="1"/>
  <c r="O16" i="1"/>
  <c r="Q16" i="1" s="1"/>
  <c r="N16" i="1"/>
  <c r="M16" i="1"/>
  <c r="L16" i="1"/>
  <c r="K16" i="1"/>
  <c r="J16" i="1"/>
  <c r="I16" i="1"/>
  <c r="G16" i="1"/>
  <c r="F16" i="1"/>
  <c r="H16" i="1" s="1"/>
  <c r="E16" i="1"/>
  <c r="D16" i="1"/>
  <c r="C16" i="1"/>
  <c r="B16" i="1"/>
</calcChain>
</file>

<file path=xl/sharedStrings.xml><?xml version="1.0" encoding="utf-8"?>
<sst xmlns="http://schemas.openxmlformats.org/spreadsheetml/2006/main" count="157" uniqueCount="44">
  <si>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</si>
  <si>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</si>
  <si>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</si>
  <si>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</si>
  <si>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</si>
  <si>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</si>
  <si>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CARGO CARRIED </t>
  </si>
  <si>
    <t xml:space="preserve">    TONNE  KILOMETRE PERFORMED </t>
  </si>
  <si>
    <t>AVAILABLE TONNE KILOMETRE
(IN THOUSAND)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</si>
  <si>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</si>
  <si>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</si>
  <si>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</si>
  <si>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</si>
  <si>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</si>
  <si>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</si>
  <si>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</si>
  <si>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</si>
  <si>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</si>
  <si>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</si>
  <si>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</si>
  <si>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</si>
  <si>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</si>
  <si>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</si>
  <si>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</si>
  <si>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</si>
  <si>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</si>
  <si>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</si>
  <si>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</si>
  <si>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</si>
  <si>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</si>
  <si>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</si>
  <si>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</si>
  <si>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</si>
  <si>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</si>
  <si>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</si>
  <si>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</si>
  <si>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</si>
  <si>
    <t xml:space="preserve"> PAX LOAD FACTOR
(IN %)</t>
  </si>
  <si>
    <t xml:space="preserve"> WEIGHT LOAD FACTOR
(IN %)</t>
  </si>
  <si>
    <t>JUN</t>
  </si>
  <si>
    <t>JUL</t>
  </si>
  <si>
    <t>BLUEDART</t>
  </si>
  <si>
    <t>2026</t>
  </si>
  <si>
    <t>SOURCE:- ICAO ATR FORM A FURNISHED BY BLUEDART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</si>
</sst>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8" x14ac:knownFonts="1">
    <font>
      <sz val="11"/>
      <color theme="1"/>
      <name val="Calibri"/>
      <family val="2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8"/>
      <color theme="1"/>
      <name val="Calibri Light"/>
      <family val="1"/>
      <scheme val="major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  <font>
      <sz val="12"/>
      <color theme="0" tint="-4.9989318521683403E-2"/>
      <name val="Calibri Light"/>
      <family val="1"/>
      <scheme val="major"/>
    </font>
    <font>
      <b/>
      <sz val="16"/>
      <color indexed="8"/>
      <name val="Cambria"/>
      <family val="1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3"/>
      <name val="Cambria"/>
      <family val="1"/>
    </font>
    <font>
      <b/>
      <sz val="12"/>
      <name val="Cambria"/>
      <family val="1"/>
    </font>
    <font>
      <b/>
      <sz val="16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7693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38DD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2" fillId="4" borderId="0" xfId="0" applyNumberFormat="1" applyFont="1" applyFill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vertical="center" wrapText="1"/>
    </xf>
    <xf numFmtId="3" fontId="2" fillId="4" borderId="5" xfId="0" applyNumberFormat="1" applyFont="1" applyFill="1" applyBorder="1" applyAlignment="1">
      <alignment horizontal="center" vertical="center" wrapText="1"/>
    </xf>
    <xf numFmtId="3" fontId="2" fillId="4" borderId="6" xfId="0" applyNumberFormat="1" applyFont="1" applyFill="1" applyBorder="1" applyAlignment="1">
      <alignment horizontal="center" vertical="center" wrapText="1"/>
    </xf>
    <xf numFmtId="164" fontId="2" fillId="4" borderId="7" xfId="0" applyNumberFormat="1" applyFont="1" applyFill="1" applyBorder="1" applyAlignment="1">
      <alignment horizontal="center" vertical="center" wrapText="1"/>
    </xf>
    <xf numFmtId="164" fontId="2" fillId="4" borderId="5" xfId="0" applyNumberFormat="1" applyFont="1" applyFill="1" applyBorder="1" applyAlignment="1">
      <alignment horizontal="center" vertical="center" wrapText="1"/>
    </xf>
    <xf numFmtId="164" fontId="2" fillId="4" borderId="4" xfId="0" applyNumberFormat="1" applyFont="1" applyFill="1" applyBorder="1" applyAlignment="1">
      <alignment horizontal="center" vertical="center" wrapText="1"/>
    </xf>
    <xf numFmtId="3" fontId="2" fillId="2" borderId="8" xfId="0" applyNumberFormat="1" applyFont="1" applyFill="1" applyBorder="1" applyAlignment="1">
      <alignment horizontal="center" vertical="center" wrapText="1"/>
    </xf>
    <xf numFmtId="164" fontId="2" fillId="4" borderId="6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164" fontId="2" fillId="4" borderId="0" xfId="0" applyNumberFormat="1" applyFont="1" applyFill="1" applyAlignment="1">
      <alignment horizontal="center" vertical="center" wrapText="1"/>
    </xf>
    <xf numFmtId="164" fontId="2" fillId="4" borderId="9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3" fontId="2" fillId="6" borderId="10" xfId="0" applyNumberFormat="1" applyFont="1" applyFill="1" applyBorder="1" applyAlignment="1">
      <alignment horizontal="center" vertical="center" wrapText="1"/>
    </xf>
    <xf numFmtId="3" fontId="2" fillId="6" borderId="5" xfId="0" applyNumberFormat="1" applyFont="1" applyFill="1" applyBorder="1" applyAlignment="1">
      <alignment horizontal="center" vertical="center" wrapText="1"/>
    </xf>
    <xf numFmtId="3" fontId="2" fillId="6" borderId="6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6" borderId="6" xfId="0" applyNumberFormat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3" fontId="2" fillId="6" borderId="7" xfId="0" applyNumberFormat="1" applyFont="1" applyFill="1" applyBorder="1" applyAlignment="1">
      <alignment horizontal="center" vertical="center" wrapText="1"/>
    </xf>
    <xf numFmtId="3" fontId="2" fillId="6" borderId="0" xfId="0" applyNumberFormat="1" applyFont="1" applyFill="1" applyAlignment="1">
      <alignment horizontal="center" vertical="center" wrapText="1"/>
    </xf>
    <xf numFmtId="3" fontId="2" fillId="6" borderId="9" xfId="0" applyNumberFormat="1" applyFont="1" applyFill="1" applyBorder="1" applyAlignment="1">
      <alignment horizontal="center" vertical="center" wrapText="1"/>
    </xf>
    <xf numFmtId="164" fontId="2" fillId="6" borderId="7" xfId="0" applyNumberFormat="1" applyFont="1" applyFill="1" applyBorder="1" applyAlignment="1">
      <alignment horizontal="center" vertical="center" wrapText="1"/>
    </xf>
    <xf numFmtId="164" fontId="2" fillId="6" borderId="9" xfId="0" applyNumberFormat="1" applyFont="1" applyFill="1" applyBorder="1" applyAlignment="1">
      <alignment horizontal="center" vertical="center" wrapText="1"/>
    </xf>
    <xf numFmtId="164" fontId="2" fillId="6" borderId="0" xfId="0" applyNumberFormat="1" applyFont="1" applyFill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3" fontId="3" fillId="7" borderId="2" xfId="0" applyNumberFormat="1" applyFont="1" applyFill="1" applyBorder="1" applyAlignment="1">
      <alignment horizontal="center" vertical="center" wrapText="1"/>
    </xf>
    <xf numFmtId="164" fontId="3" fillId="7" borderId="2" xfId="0" applyNumberFormat="1" applyFont="1" applyFill="1" applyBorder="1" applyAlignment="1">
      <alignment horizontal="center" vertical="center" wrapText="1"/>
    </xf>
    <xf numFmtId="164" fontId="3" fillId="7" borderId="3" xfId="0" applyNumberFormat="1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0" fontId="4" fillId="10" borderId="3" xfId="0" applyFont="1" applyFill="1" applyBorder="1" applyAlignment="1">
      <alignment horizontal="center" vertical="center" textRotation="90" wrapText="1"/>
    </xf>
    <xf numFmtId="3" fontId="2" fillId="2" borderId="2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13" borderId="0" xfId="0" applyNumberFormat="1" applyFont="1" applyFill="1" applyAlignment="1">
      <alignment horizontal="center" vertical="center" wrapText="1"/>
    </xf>
    <xf numFmtId="3" fontId="2" fillId="13" borderId="9" xfId="0" applyNumberFormat="1" applyFont="1" applyFill="1" applyBorder="1" applyAlignment="1">
      <alignment horizontal="center" vertical="center" wrapText="1"/>
    </xf>
    <xf numFmtId="3" fontId="2" fillId="13" borderId="7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13" borderId="7" xfId="0" applyNumberFormat="1" applyFont="1" applyFill="1" applyBorder="1" applyAlignment="1">
      <alignment horizontal="center" vertical="center" wrapText="1"/>
    </xf>
    <xf numFmtId="164" fontId="2" fillId="13" borderId="0" xfId="0" applyNumberFormat="1" applyFont="1" applyFill="1" applyAlignment="1">
      <alignment horizontal="center" vertical="center" wrapText="1"/>
    </xf>
    <xf numFmtId="164" fontId="2" fillId="13" borderId="9" xfId="0" applyNumberFormat="1" applyFont="1" applyFill="1" applyBorder="1" applyAlignment="1">
      <alignment horizontal="center" vertical="center" wrapText="1"/>
    </xf>
    <xf numFmtId="3" fontId="2" fillId="13" borderId="11" xfId="0" applyNumberFormat="1" applyFont="1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3" fontId="2" fillId="13" borderId="8" xfId="0" applyNumberFormat="1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4" fontId="2" fillId="13" borderId="11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10" fillId="2" borderId="0" xfId="0" applyNumberFormat="1" applyFont="1" applyFill="1" applyAlignment="1">
      <alignment horizontal="center" vertical="center" wrapText="1"/>
    </xf>
    <xf numFmtId="3" fontId="10" fillId="2" borderId="7" xfId="0" applyNumberFormat="1" applyFont="1" applyFill="1" applyBorder="1" applyAlignment="1">
      <alignment horizontal="center" vertical="center" wrapText="1"/>
    </xf>
    <xf numFmtId="164" fontId="5" fillId="2" borderId="7" xfId="0" applyNumberFormat="1" applyFont="1" applyFill="1" applyBorder="1" applyAlignment="1">
      <alignment horizontal="center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3" fontId="5" fillId="2" borderId="9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5" fillId="2" borderId="7" xfId="0" applyNumberFormat="1" applyFont="1" applyFill="1" applyBorder="1" applyAlignment="1">
      <alignment horizontal="center" vertical="center" wrapText="1"/>
    </xf>
    <xf numFmtId="3" fontId="5" fillId="2" borderId="1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8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2" borderId="1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164" fontId="2" fillId="2" borderId="7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8" borderId="15" xfId="0" applyFont="1" applyFill="1" applyBorder="1" applyAlignment="1">
      <alignment horizontal="center" vertical="center" wrapText="1"/>
    </xf>
    <xf numFmtId="3" fontId="11" fillId="8" borderId="15" xfId="0" applyNumberFormat="1" applyFont="1" applyFill="1" applyBorder="1" applyAlignment="1">
      <alignment horizontal="center" vertical="center" wrapText="1"/>
    </xf>
    <xf numFmtId="164" fontId="11" fillId="8" borderId="15" xfId="0" applyNumberFormat="1" applyFont="1" applyFill="1" applyBorder="1" applyAlignment="1">
      <alignment horizontal="center" vertical="center" wrapText="1"/>
    </xf>
    <xf numFmtId="3" fontId="5" fillId="12" borderId="4" xfId="0" applyNumberFormat="1" applyFont="1" applyFill="1" applyBorder="1" applyAlignment="1">
      <alignment horizontal="center" vertical="center" wrapText="1"/>
    </xf>
    <xf numFmtId="3" fontId="5" fillId="12" borderId="5" xfId="0" applyNumberFormat="1" applyFont="1" applyFill="1" applyBorder="1" applyAlignment="1">
      <alignment horizontal="center" vertical="center" wrapText="1"/>
    </xf>
    <xf numFmtId="3" fontId="5" fillId="12" borderId="6" xfId="0" applyNumberFormat="1" applyFont="1" applyFill="1" applyBorder="1" applyAlignment="1">
      <alignment horizontal="center" vertical="center" wrapText="1"/>
    </xf>
    <xf numFmtId="164" fontId="5" fillId="12" borderId="6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164" fontId="5" fillId="12" borderId="4" xfId="0" applyNumberFormat="1" applyFont="1" applyFill="1" applyBorder="1" applyAlignment="1">
      <alignment horizontal="center" vertical="center" wrapText="1"/>
    </xf>
    <xf numFmtId="164" fontId="5" fillId="12" borderId="5" xfId="0" applyNumberFormat="1" applyFont="1" applyFill="1" applyBorder="1" applyAlignment="1">
      <alignment horizontal="center" vertical="center" wrapText="1"/>
    </xf>
    <xf numFmtId="3" fontId="5" fillId="12" borderId="9" xfId="0" applyNumberFormat="1" applyFont="1" applyFill="1" applyBorder="1" applyAlignment="1">
      <alignment horizontal="center" vertical="center" wrapText="1"/>
    </xf>
    <xf numFmtId="3" fontId="5" fillId="12" borderId="0" xfId="0" applyNumberFormat="1" applyFont="1" applyFill="1" applyAlignment="1">
      <alignment horizontal="center" vertical="center" wrapText="1"/>
    </xf>
    <xf numFmtId="3" fontId="5" fillId="12" borderId="7" xfId="0" applyNumberFormat="1" applyFont="1" applyFill="1" applyBorder="1" applyAlignment="1">
      <alignment horizontal="center" vertical="center" wrapText="1"/>
    </xf>
    <xf numFmtId="164" fontId="5" fillId="12" borderId="7" xfId="0" applyNumberFormat="1" applyFont="1" applyFill="1" applyBorder="1" applyAlignment="1">
      <alignment horizontal="center" vertical="center" wrapText="1"/>
    </xf>
    <xf numFmtId="164" fontId="5" fillId="12" borderId="9" xfId="0" applyNumberFormat="1" applyFont="1" applyFill="1" applyBorder="1" applyAlignment="1">
      <alignment horizontal="center" vertical="center" wrapText="1"/>
    </xf>
    <xf numFmtId="164" fontId="5" fillId="1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5" fillId="11" borderId="4" xfId="0" applyNumberFormat="1" applyFont="1" applyFill="1" applyBorder="1" applyAlignment="1">
      <alignment horizontal="center" vertical="center" wrapText="1"/>
    </xf>
    <xf numFmtId="3" fontId="5" fillId="11" borderId="5" xfId="0" applyNumberFormat="1" applyFont="1" applyFill="1" applyBorder="1" applyAlignment="1">
      <alignment horizontal="center" vertical="center" wrapText="1"/>
    </xf>
    <xf numFmtId="3" fontId="5" fillId="11" borderId="6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3" fontId="10" fillId="11" borderId="9" xfId="0" applyNumberFormat="1" applyFont="1" applyFill="1" applyBorder="1" applyAlignment="1">
      <alignment horizontal="center" vertical="center" wrapText="1"/>
    </xf>
    <xf numFmtId="3" fontId="10" fillId="11" borderId="0" xfId="0" applyNumberFormat="1" applyFont="1" applyFill="1" applyAlignment="1">
      <alignment horizontal="center" vertical="center" wrapText="1"/>
    </xf>
    <xf numFmtId="3" fontId="10" fillId="11" borderId="7" xfId="0" applyNumberFormat="1" applyFont="1" applyFill="1" applyBorder="1" applyAlignment="1">
      <alignment horizontal="center" vertical="center" wrapText="1"/>
    </xf>
    <xf numFmtId="164" fontId="5" fillId="11" borderId="7" xfId="0" applyNumberFormat="1" applyFont="1" applyFill="1" applyBorder="1" applyAlignment="1">
      <alignment horizontal="center" vertical="center" wrapText="1"/>
    </xf>
    <xf numFmtId="164" fontId="10" fillId="11" borderId="9" xfId="0" applyNumberFormat="1" applyFont="1" applyFill="1" applyBorder="1" applyAlignment="1">
      <alignment horizontal="center" vertical="center" wrapText="1"/>
    </xf>
    <xf numFmtId="164" fontId="10" fillId="11" borderId="0" xfId="0" applyNumberFormat="1" applyFont="1" applyFill="1" applyAlignment="1">
      <alignment horizontal="center" vertical="center" wrapText="1"/>
    </xf>
    <xf numFmtId="3" fontId="5" fillId="11" borderId="9" xfId="0" applyNumberFormat="1" applyFont="1" applyFill="1" applyBorder="1" applyAlignment="1">
      <alignment horizontal="center" vertical="center" wrapText="1"/>
    </xf>
    <xf numFmtId="3" fontId="5" fillId="11" borderId="0" xfId="0" applyNumberFormat="1" applyFont="1" applyFill="1" applyAlignment="1">
      <alignment horizontal="center" vertical="center" wrapText="1"/>
    </xf>
    <xf numFmtId="3" fontId="5" fillId="11" borderId="7" xfId="0" applyNumberFormat="1" applyFont="1" applyFill="1" applyBorder="1" applyAlignment="1">
      <alignment horizontal="center" vertical="center" wrapText="1"/>
    </xf>
    <xf numFmtId="164" fontId="5" fillId="11" borderId="9" xfId="0" applyNumberFormat="1" applyFont="1" applyFill="1" applyBorder="1" applyAlignment="1">
      <alignment horizontal="center" vertical="center" wrapText="1"/>
    </xf>
    <xf numFmtId="164" fontId="5" fillId="11" borderId="0" xfId="0" applyNumberFormat="1" applyFont="1" applyFill="1" applyAlignment="1">
      <alignment horizontal="center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3" fontId="11" fillId="14" borderId="15" xfId="0" applyNumberFormat="1" applyFont="1" applyFill="1" applyBorder="1" applyAlignment="1">
      <alignment horizontal="center" vertical="center" wrapText="1"/>
    </xf>
    <xf numFmtId="164" fontId="11" fillId="14" borderId="15" xfId="0" applyNumberFormat="1" applyFont="1" applyFill="1" applyBorder="1" applyAlignment="1">
      <alignment horizontal="center" vertical="center" wrapText="1"/>
    </xf>
    <xf numFmtId="164" fontId="11" fillId="14" borderId="3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/>
    </xf>
    <xf numFmtId="2" fontId="8" fillId="6" borderId="14" xfId="0" applyNumberFormat="1" applyFont="1" applyFill="1" applyBorder="1" applyAlignment="1">
      <alignment horizontal="center" vertical="center" wrapText="1"/>
    </xf>
    <xf numFmtId="2" fontId="8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3" fontId="8" fillId="6" borderId="12" xfId="0" applyNumberFormat="1" applyFont="1" applyFill="1" applyBorder="1" applyAlignment="1">
      <alignment horizontal="center" vertical="center" wrapText="1"/>
    </xf>
    <xf numFmtId="3" fontId="8" fillId="6" borderId="13" xfId="0" applyNumberFormat="1" applyFont="1" applyFill="1" applyBorder="1" applyAlignment="1">
      <alignment horizontal="center" vertical="center" wrapText="1"/>
    </xf>
    <xf numFmtId="0" fontId="4" fillId="10" borderId="10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textRotation="90" wrapText="1"/>
    </xf>
    <xf numFmtId="0" fontId="6" fillId="2" borderId="3" xfId="0" applyFont="1" applyFill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2" fontId="8" fillId="4" borderId="14" xfId="0" applyNumberFormat="1" applyFont="1" applyFill="1" applyBorder="1" applyAlignment="1">
      <alignment horizontal="center" vertical="center" wrapText="1"/>
    </xf>
    <xf numFmtId="2" fontId="8" fillId="4" borderId="12" xfId="0" applyNumberFormat="1" applyFont="1" applyFill="1" applyBorder="1" applyAlignment="1">
      <alignment horizontal="center" vertical="center" wrapText="1"/>
    </xf>
    <xf numFmtId="164" fontId="7" fillId="4" borderId="12" xfId="0" applyNumberFormat="1" applyFont="1" applyFill="1" applyBorder="1" applyAlignment="1">
      <alignment horizontal="center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4" fontId="8" fillId="4" borderId="1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textRotation="90" wrapText="1"/>
    </xf>
    <xf numFmtId="0" fontId="4" fillId="5" borderId="10" xfId="0" applyFont="1" applyFill="1" applyBorder="1" applyAlignment="1">
      <alignment horizontal="center" vertical="center" textRotation="90" wrapText="1"/>
    </xf>
    <xf numFmtId="2" fontId="8" fillId="11" borderId="14" xfId="0" applyNumberFormat="1" applyFont="1" applyFill="1" applyBorder="1" applyAlignment="1">
      <alignment horizontal="center" vertical="center" wrapText="1"/>
    </xf>
    <xf numFmtId="2" fontId="8" fillId="11" borderId="12" xfId="0" applyNumberFormat="1" applyFont="1" applyFill="1" applyBorder="1" applyAlignment="1">
      <alignment horizontal="center" vertical="center" wrapText="1"/>
    </xf>
    <xf numFmtId="3" fontId="9" fillId="11" borderId="12" xfId="0" applyNumberFormat="1" applyFont="1" applyFill="1" applyBorder="1" applyAlignment="1">
      <alignment horizontal="center" vertical="center" wrapText="1"/>
    </xf>
    <xf numFmtId="3" fontId="8" fillId="11" borderId="12" xfId="0" applyNumberFormat="1" applyFont="1" applyFill="1" applyBorder="1" applyAlignment="1">
      <alignment horizontal="center" vertical="center" wrapText="1"/>
    </xf>
    <xf numFmtId="3" fontId="8" fillId="11" borderId="13" xfId="0" applyNumberFormat="1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textRotation="90" wrapText="1"/>
    </xf>
    <xf numFmtId="0" fontId="4" fillId="9" borderId="10" xfId="0" applyFont="1" applyFill="1" applyBorder="1" applyAlignment="1">
      <alignment horizontal="center" vertical="center" textRotation="90" wrapText="1"/>
    </xf>
    <xf numFmtId="2" fontId="8" fillId="12" borderId="14" xfId="0" applyNumberFormat="1" applyFont="1" applyFill="1" applyBorder="1" applyAlignment="1">
      <alignment horizontal="center" vertical="center" wrapText="1"/>
    </xf>
    <xf numFmtId="2" fontId="8" fillId="12" borderId="12" xfId="0" applyNumberFormat="1" applyFont="1" applyFill="1" applyBorder="1" applyAlignment="1">
      <alignment horizontal="center" vertical="center" wrapText="1"/>
    </xf>
    <xf numFmtId="3" fontId="9" fillId="12" borderId="12" xfId="0" applyNumberFormat="1" applyFont="1" applyFill="1" applyBorder="1" applyAlignment="1">
      <alignment horizontal="center" vertical="center" wrapText="1"/>
    </xf>
    <xf numFmtId="3" fontId="8" fillId="12" borderId="12" xfId="0" applyNumberFormat="1" applyFont="1" applyFill="1" applyBorder="1" applyAlignment="1">
      <alignment horizontal="center" vertical="center" wrapText="1"/>
    </xf>
    <xf numFmtId="3" fontId="8" fillId="12" borderId="1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textRotation="90" wrapText="1"/>
    </xf>
    <xf numFmtId="0" fontId="4" fillId="8" borderId="10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ukesh%20office%20data/Nitin%20Soni,%20JSO/April%202025/Software/copy%20of%20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PivotTable"/>
      <sheetName val="Interface"/>
      <sheetName val="Data"/>
      <sheetName val="Sheet3"/>
      <sheetName val="Sheet1"/>
      <sheetName val="Sheet5"/>
      <sheetName val="Sheet2"/>
      <sheetName val="FRT ONLY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="115" zoomScaleNormal="85" zoomScaleSheetLayoutView="115" workbookViewId="0">
      <selection activeCell="D46" sqref="D46"/>
    </sheetView>
  </sheetViews>
  <sheetFormatPr defaultColWidth="11.42578125" defaultRowHeight="15" x14ac:dyDescent="0.25"/>
  <cols>
    <col min="1" max="1" width="10.42578125" customWidth="1"/>
    <col min="2" max="2" width="9.7109375" customWidth="1"/>
    <col min="3" max="3" width="10.28515625" customWidth="1"/>
    <col min="4" max="4" width="10.85546875" customWidth="1"/>
    <col min="5" max="5" width="12.7109375" customWidth="1"/>
    <col min="6" max="6" width="12.42578125" customWidth="1"/>
    <col min="7" max="7" width="12.140625" customWidth="1"/>
    <col min="8" max="8" width="6.7109375" customWidth="1"/>
    <col min="9" max="9" width="11.28515625" customWidth="1"/>
    <col min="10" max="10" width="9.42578125" customWidth="1"/>
    <col min="11" max="11" width="11.28515625" customWidth="1"/>
    <col min="12" max="12" width="12.85546875" customWidth="1"/>
    <col min="13" max="13" width="11.28515625" customWidth="1"/>
    <col min="14" max="14" width="9.140625" customWidth="1"/>
    <col min="15" max="15" width="12.85546875" customWidth="1"/>
    <col min="16" max="16" width="12.7109375" customWidth="1"/>
    <col min="17" max="17" width="6.7109375" customWidth="1"/>
  </cols>
  <sheetData>
    <row r="1" spans="1:17" ht="46.5" customHeight="1" x14ac:dyDescent="0.25">
      <c r="A1" s="126" t="s">
        <v>42</v>
      </c>
      <c r="B1" s="127"/>
      <c r="C1" s="128" t="s">
        <v>0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 t="s">
        <v>41</v>
      </c>
      <c r="P1" s="129"/>
      <c r="Q1" s="130"/>
    </row>
    <row r="2" spans="1:17" ht="49.5" customHeight="1" x14ac:dyDescent="0.25">
      <c r="A2" s="131" t="s">
        <v>1</v>
      </c>
      <c r="B2" s="133" t="s">
        <v>2</v>
      </c>
      <c r="C2" s="133"/>
      <c r="D2" s="133"/>
      <c r="E2" s="134" t="s">
        <v>3</v>
      </c>
      <c r="F2" s="134" t="s">
        <v>4</v>
      </c>
      <c r="G2" s="134" t="s">
        <v>5</v>
      </c>
      <c r="H2" s="134" t="s">
        <v>37</v>
      </c>
      <c r="I2" s="133" t="s">
        <v>6</v>
      </c>
      <c r="J2" s="133"/>
      <c r="K2" s="133"/>
      <c r="L2" s="133" t="s">
        <v>7</v>
      </c>
      <c r="M2" s="133"/>
      <c r="N2" s="133"/>
      <c r="O2" s="133"/>
      <c r="P2" s="134" t="s">
        <v>8</v>
      </c>
      <c r="Q2" s="134" t="s">
        <v>38</v>
      </c>
    </row>
    <row r="3" spans="1:17" ht="155.25" customHeight="1" x14ac:dyDescent="0.25">
      <c r="A3" s="132"/>
      <c r="B3" s="42" t="s">
        <v>9</v>
      </c>
      <c r="C3" s="42" t="s">
        <v>10</v>
      </c>
      <c r="D3" s="42" t="s">
        <v>11</v>
      </c>
      <c r="E3" s="134"/>
      <c r="F3" s="134"/>
      <c r="G3" s="134"/>
      <c r="H3" s="134"/>
      <c r="I3" s="42" t="s">
        <v>12</v>
      </c>
      <c r="J3" s="42" t="s">
        <v>13</v>
      </c>
      <c r="K3" s="42" t="s">
        <v>14</v>
      </c>
      <c r="L3" s="42" t="s">
        <v>15</v>
      </c>
      <c r="M3" s="42" t="s">
        <v>16</v>
      </c>
      <c r="N3" s="42" t="s">
        <v>17</v>
      </c>
      <c r="O3" s="42" t="s">
        <v>18</v>
      </c>
      <c r="P3" s="134"/>
      <c r="Q3" s="134"/>
    </row>
    <row r="4" spans="1:17" ht="23.1" customHeight="1" x14ac:dyDescent="0.25">
      <c r="A4" s="20" t="s">
        <v>19</v>
      </c>
      <c r="B4" s="21">
        <v>566</v>
      </c>
      <c r="C4" s="21">
        <v>786.25</v>
      </c>
      <c r="D4" s="22">
        <v>546</v>
      </c>
      <c r="E4" s="23">
        <v>0</v>
      </c>
      <c r="F4" s="21">
        <v>0</v>
      </c>
      <c r="G4" s="21">
        <v>0</v>
      </c>
      <c r="H4" s="25"/>
      <c r="I4" s="26">
        <v>10231.954</v>
      </c>
      <c r="J4" s="27">
        <v>0</v>
      </c>
      <c r="K4" s="25">
        <v>10231.954</v>
      </c>
      <c r="L4" s="26">
        <v>0</v>
      </c>
      <c r="M4" s="27">
        <v>10164</v>
      </c>
      <c r="N4" s="27">
        <v>0</v>
      </c>
      <c r="O4" s="25">
        <v>10164</v>
      </c>
      <c r="P4" s="27">
        <v>16152</v>
      </c>
      <c r="Q4" s="25">
        <v>62.93</v>
      </c>
    </row>
    <row r="5" spans="1:17" ht="23.1" customHeight="1" x14ac:dyDescent="0.25">
      <c r="A5" s="43" t="s">
        <v>20</v>
      </c>
      <c r="B5" s="64">
        <v>572</v>
      </c>
      <c r="C5" s="64">
        <v>806.08330000000001</v>
      </c>
      <c r="D5" s="53">
        <v>564</v>
      </c>
      <c r="E5" s="74">
        <v>0</v>
      </c>
      <c r="F5" s="64">
        <v>0</v>
      </c>
      <c r="G5" s="64">
        <v>0</v>
      </c>
      <c r="H5" s="83"/>
      <c r="I5" s="92">
        <v>10291.477999999999</v>
      </c>
      <c r="J5" s="101">
        <v>0</v>
      </c>
      <c r="K5" s="83">
        <v>10291.477999999999</v>
      </c>
      <c r="L5" s="92">
        <v>0</v>
      </c>
      <c r="M5" s="101">
        <v>10365</v>
      </c>
      <c r="N5" s="101">
        <v>0</v>
      </c>
      <c r="O5" s="83">
        <v>10365</v>
      </c>
      <c r="P5" s="101">
        <v>16669</v>
      </c>
      <c r="Q5" s="83">
        <v>62.18</v>
      </c>
    </row>
    <row r="6" spans="1:17" ht="23.1" customHeight="1" x14ac:dyDescent="0.25">
      <c r="A6" s="45" t="s">
        <v>21</v>
      </c>
      <c r="B6" s="29">
        <v>610</v>
      </c>
      <c r="C6" s="29">
        <v>848.65</v>
      </c>
      <c r="D6" s="28">
        <v>602</v>
      </c>
      <c r="E6" s="30">
        <v>0</v>
      </c>
      <c r="F6" s="29">
        <v>0</v>
      </c>
      <c r="G6" s="29">
        <v>0</v>
      </c>
      <c r="H6" s="31"/>
      <c r="I6" s="32">
        <v>11210.423000000001</v>
      </c>
      <c r="J6" s="33">
        <v>0</v>
      </c>
      <c r="K6" s="31">
        <v>11210.423000000001</v>
      </c>
      <c r="L6" s="32">
        <v>0</v>
      </c>
      <c r="M6" s="33">
        <v>11345</v>
      </c>
      <c r="N6" s="33">
        <v>0</v>
      </c>
      <c r="O6" s="31">
        <v>11345</v>
      </c>
      <c r="P6" s="33">
        <v>18019</v>
      </c>
      <c r="Q6" s="31">
        <v>62.96</v>
      </c>
    </row>
    <row r="7" spans="1:17" ht="23.1" customHeight="1" x14ac:dyDescent="0.25">
      <c r="A7" s="43" t="s">
        <v>22</v>
      </c>
      <c r="B7" s="64">
        <v>556</v>
      </c>
      <c r="C7" s="64">
        <v>754.63329999999996</v>
      </c>
      <c r="D7" s="53">
        <v>529.83730000000003</v>
      </c>
      <c r="E7" s="74">
        <v>0</v>
      </c>
      <c r="F7" s="64">
        <v>0</v>
      </c>
      <c r="G7" s="64">
        <v>0</v>
      </c>
      <c r="H7" s="83"/>
      <c r="I7" s="92">
        <v>10101.138000000001</v>
      </c>
      <c r="J7" s="101">
        <v>0</v>
      </c>
      <c r="K7" s="83">
        <v>10101.138000000001</v>
      </c>
      <c r="L7" s="92">
        <v>0</v>
      </c>
      <c r="M7" s="101">
        <v>9966.44</v>
      </c>
      <c r="N7" s="101">
        <v>0</v>
      </c>
      <c r="O7" s="83">
        <v>9966.44</v>
      </c>
      <c r="P7" s="101">
        <v>16086.136</v>
      </c>
      <c r="Q7" s="83">
        <v>61.96</v>
      </c>
    </row>
    <row r="8" spans="1:17" ht="30" customHeight="1" x14ac:dyDescent="0.25">
      <c r="A8" s="45" t="s">
        <v>23</v>
      </c>
      <c r="B8" s="29">
        <v>551</v>
      </c>
      <c r="C8" s="29">
        <v>727.85</v>
      </c>
      <c r="D8" s="28">
        <v>520.697</v>
      </c>
      <c r="E8" s="30">
        <v>0</v>
      </c>
      <c r="F8" s="29">
        <v>0</v>
      </c>
      <c r="G8" s="29">
        <v>0</v>
      </c>
      <c r="H8" s="31"/>
      <c r="I8" s="32">
        <v>9952.3530000000101</v>
      </c>
      <c r="J8" s="33">
        <v>0</v>
      </c>
      <c r="K8" s="31">
        <v>9952.3530000000101</v>
      </c>
      <c r="L8" s="32">
        <v>0</v>
      </c>
      <c r="M8" s="33">
        <v>9765.4639999999999</v>
      </c>
      <c r="N8" s="33">
        <v>0</v>
      </c>
      <c r="O8" s="31">
        <v>9765.4639999999999</v>
      </c>
      <c r="P8" s="33">
        <v>15777.978999999999</v>
      </c>
      <c r="Q8" s="31">
        <v>61.89</v>
      </c>
    </row>
    <row r="9" spans="1:17" ht="23.1" customHeight="1" x14ac:dyDescent="0.25">
      <c r="A9" s="43" t="s">
        <v>39</v>
      </c>
      <c r="B9" s="64">
        <v>475</v>
      </c>
      <c r="C9" s="64">
        <v>658.41666699999996</v>
      </c>
      <c r="D9" s="53">
        <v>440.702</v>
      </c>
      <c r="E9" s="74">
        <v>0</v>
      </c>
      <c r="F9" s="64">
        <v>0</v>
      </c>
      <c r="G9" s="64">
        <v>0</v>
      </c>
      <c r="H9" s="83"/>
      <c r="I9" s="92">
        <v>8843.8379999999997</v>
      </c>
      <c r="J9" s="101">
        <v>0</v>
      </c>
      <c r="K9" s="83">
        <v>8843.8379999999997</v>
      </c>
      <c r="L9" s="92">
        <v>0</v>
      </c>
      <c r="M9" s="101">
        <v>8381.2459999999992</v>
      </c>
      <c r="N9" s="101">
        <v>0</v>
      </c>
      <c r="O9" s="83">
        <v>8381.2459999999992</v>
      </c>
      <c r="P9" s="101">
        <v>13260.842000000001</v>
      </c>
      <c r="Q9" s="83">
        <v>63.2</v>
      </c>
    </row>
    <row r="10" spans="1:17" ht="23.1" customHeight="1" x14ac:dyDescent="0.25">
      <c r="A10" s="45" t="s">
        <v>24</v>
      </c>
      <c r="B10" s="29">
        <v>553</v>
      </c>
      <c r="C10" s="29">
        <v>737.05</v>
      </c>
      <c r="D10" s="28">
        <v>537.82470000000001</v>
      </c>
      <c r="E10" s="30">
        <v>0</v>
      </c>
      <c r="F10" s="29">
        <v>0</v>
      </c>
      <c r="G10" s="29">
        <v>0</v>
      </c>
      <c r="H10" s="31"/>
      <c r="I10" s="32">
        <v>10484.550999999999</v>
      </c>
      <c r="J10" s="33">
        <v>0</v>
      </c>
      <c r="K10" s="31">
        <v>10484.550999999999</v>
      </c>
      <c r="L10" s="32">
        <v>0</v>
      </c>
      <c r="M10" s="33">
        <v>10366.441000000001</v>
      </c>
      <c r="N10" s="33">
        <v>0</v>
      </c>
      <c r="O10" s="31">
        <v>10366.441000000001</v>
      </c>
      <c r="P10" s="33">
        <v>16120.388999999999</v>
      </c>
      <c r="Q10" s="31">
        <v>64.31</v>
      </c>
    </row>
    <row r="11" spans="1:17" ht="23.1" customHeight="1" x14ac:dyDescent="0.25">
      <c r="A11" s="43" t="s">
        <v>25</v>
      </c>
      <c r="B11" s="64"/>
      <c r="C11" s="64"/>
      <c r="D11" s="53"/>
      <c r="E11" s="74"/>
      <c r="F11" s="64"/>
      <c r="G11" s="64"/>
      <c r="H11" s="83"/>
      <c r="I11" s="92"/>
      <c r="J11" s="101"/>
      <c r="K11" s="83"/>
      <c r="L11" s="92"/>
      <c r="M11" s="101"/>
      <c r="N11" s="101"/>
      <c r="O11" s="83"/>
      <c r="P11" s="101"/>
      <c r="Q11" s="83"/>
    </row>
    <row r="12" spans="1:17" ht="23.1" customHeight="1" x14ac:dyDescent="0.25">
      <c r="A12" s="45" t="s">
        <v>26</v>
      </c>
      <c r="B12" s="29"/>
      <c r="C12" s="29"/>
      <c r="D12" s="28"/>
      <c r="E12" s="30"/>
      <c r="F12" s="29"/>
      <c r="G12" s="29"/>
      <c r="H12" s="31"/>
      <c r="I12" s="32"/>
      <c r="J12" s="33"/>
      <c r="K12" s="31"/>
      <c r="L12" s="32"/>
      <c r="M12" s="33"/>
      <c r="N12" s="33"/>
      <c r="O12" s="31"/>
      <c r="P12" s="33"/>
      <c r="Q12" s="31"/>
    </row>
    <row r="13" spans="1:17" ht="23.1" customHeight="1" x14ac:dyDescent="0.25">
      <c r="A13" s="43" t="s">
        <v>27</v>
      </c>
      <c r="B13" s="64"/>
      <c r="C13" s="64"/>
      <c r="D13" s="53"/>
      <c r="E13" s="74"/>
      <c r="F13" s="64"/>
      <c r="G13" s="64"/>
      <c r="H13" s="83"/>
      <c r="I13" s="92"/>
      <c r="J13" s="101"/>
      <c r="K13" s="83"/>
      <c r="L13" s="92"/>
      <c r="M13" s="101"/>
      <c r="N13" s="101"/>
      <c r="O13" s="83"/>
      <c r="P13" s="101"/>
      <c r="Q13" s="83"/>
    </row>
    <row r="14" spans="1:17" ht="23.1" customHeight="1" x14ac:dyDescent="0.25">
      <c r="A14" s="45" t="s">
        <v>28</v>
      </c>
      <c r="B14" s="29"/>
      <c r="C14" s="29"/>
      <c r="D14" s="28"/>
      <c r="E14" s="30"/>
      <c r="F14" s="29"/>
      <c r="G14" s="29"/>
      <c r="H14" s="31"/>
      <c r="I14" s="32"/>
      <c r="J14" s="33"/>
      <c r="K14" s="31"/>
      <c r="L14" s="32"/>
      <c r="M14" s="33"/>
      <c r="N14" s="33"/>
      <c r="O14" s="31"/>
      <c r="P14" s="33"/>
      <c r="Q14" s="31"/>
    </row>
    <row r="15" spans="1:17" ht="23.1" customHeight="1" x14ac:dyDescent="0.25">
      <c r="A15" s="119" t="s">
        <v>29</v>
      </c>
      <c r="B15" s="2"/>
      <c r="C15" s="2"/>
      <c r="D15" s="13"/>
      <c r="E15" s="24"/>
      <c r="F15" s="2"/>
      <c r="G15" s="2"/>
      <c r="H15" s="35"/>
      <c r="I15" s="44"/>
      <c r="J15" s="49"/>
      <c r="K15" s="35"/>
      <c r="L15" s="44"/>
      <c r="M15" s="49"/>
      <c r="N15" s="49"/>
      <c r="O15" s="35"/>
      <c r="P15" s="101"/>
      <c r="Q15" s="83"/>
    </row>
    <row r="16" spans="1:17" ht="23.1" customHeight="1" x14ac:dyDescent="0.25">
      <c r="A16" s="34" t="s">
        <v>30</v>
      </c>
      <c r="B16" s="36">
        <f t="shared" ref="B16:G16" si="0">IFERROR(SUM(B4:B15),"")</f>
        <v>3883</v>
      </c>
      <c r="C16" s="36">
        <f t="shared" si="0"/>
        <v>5318.9332669999994</v>
      </c>
      <c r="D16" s="36">
        <f t="shared" si="0"/>
        <v>3741.0610000000006</v>
      </c>
      <c r="E16" s="36">
        <f t="shared" si="0"/>
        <v>0</v>
      </c>
      <c r="F16" s="36">
        <f t="shared" si="0"/>
        <v>0</v>
      </c>
      <c r="G16" s="36">
        <f t="shared" si="0"/>
        <v>0</v>
      </c>
      <c r="H16" s="37" t="str">
        <f>IFERROR(F16/G16*100,"")</f>
        <v/>
      </c>
      <c r="I16" s="37">
        <f t="shared" ref="I16:P16" si="1">IFERROR(SUM(I4:I15),"")</f>
        <v>71115.735000000015</v>
      </c>
      <c r="J16" s="37">
        <f t="shared" si="1"/>
        <v>0</v>
      </c>
      <c r="K16" s="37">
        <f t="shared" si="1"/>
        <v>71115.735000000015</v>
      </c>
      <c r="L16" s="37">
        <f t="shared" si="1"/>
        <v>0</v>
      </c>
      <c r="M16" s="37">
        <f t="shared" si="1"/>
        <v>70353.591</v>
      </c>
      <c r="N16" s="37">
        <f t="shared" si="1"/>
        <v>0</v>
      </c>
      <c r="O16" s="37">
        <f t="shared" si="1"/>
        <v>70353.591</v>
      </c>
      <c r="P16" s="38">
        <f t="shared" si="1"/>
        <v>112085.34599999999</v>
      </c>
      <c r="Q16" s="38">
        <f>IFERROR(O16/P16*100,"")</f>
        <v>62.767876007627265</v>
      </c>
    </row>
    <row r="17" spans="1:17" ht="20.100000000000001" customHeight="1" x14ac:dyDescent="0.25">
      <c r="A17" s="135" t="s">
        <v>43</v>
      </c>
      <c r="B17" s="136"/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/>
    </row>
    <row r="18" spans="1:17" ht="15.75" x14ac:dyDescent="0.25">
      <c r="A18" s="125" t="s">
        <v>31</v>
      </c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</row>
    <row r="19" spans="1:17" ht="15.75" x14ac:dyDescent="0.25">
      <c r="A19" s="125" t="s">
        <v>32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</row>
    <row r="20" spans="1:17" ht="51.75" customHeight="1" x14ac:dyDescent="0.25">
      <c r="A20" s="137" t="s">
        <v>42</v>
      </c>
      <c r="B20" s="138"/>
      <c r="C20" s="139" t="s">
        <v>33</v>
      </c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139"/>
      <c r="O20" s="140" t="s">
        <v>41</v>
      </c>
      <c r="P20" s="140"/>
      <c r="Q20" s="141"/>
    </row>
    <row r="21" spans="1:17" ht="51" customHeight="1" x14ac:dyDescent="0.25">
      <c r="A21" s="142" t="s">
        <v>1</v>
      </c>
      <c r="B21" s="142" t="s">
        <v>2</v>
      </c>
      <c r="C21" s="142"/>
      <c r="D21" s="142"/>
      <c r="E21" s="143" t="s">
        <v>3</v>
      </c>
      <c r="F21" s="143" t="s">
        <v>4</v>
      </c>
      <c r="G21" s="143" t="s">
        <v>5</v>
      </c>
      <c r="H21" s="143" t="s">
        <v>37</v>
      </c>
      <c r="I21" s="142" t="s">
        <v>6</v>
      </c>
      <c r="J21" s="142"/>
      <c r="K21" s="142"/>
      <c r="L21" s="142" t="s">
        <v>7</v>
      </c>
      <c r="M21" s="142"/>
      <c r="N21" s="142"/>
      <c r="O21" s="142"/>
      <c r="P21" s="143" t="s">
        <v>8</v>
      </c>
      <c r="Q21" s="143" t="s">
        <v>38</v>
      </c>
    </row>
    <row r="22" spans="1:17" ht="150.75" customHeight="1" x14ac:dyDescent="0.25">
      <c r="A22" s="142"/>
      <c r="B22" s="19" t="s">
        <v>9</v>
      </c>
      <c r="C22" s="19" t="s">
        <v>10</v>
      </c>
      <c r="D22" s="19" t="s">
        <v>11</v>
      </c>
      <c r="E22" s="143"/>
      <c r="F22" s="143"/>
      <c r="G22" s="143"/>
      <c r="H22" s="143"/>
      <c r="I22" s="19" t="s">
        <v>12</v>
      </c>
      <c r="J22" s="19" t="s">
        <v>13</v>
      </c>
      <c r="K22" s="19" t="s">
        <v>14</v>
      </c>
      <c r="L22" s="41" t="s">
        <v>15</v>
      </c>
      <c r="M22" s="41" t="s">
        <v>16</v>
      </c>
      <c r="N22" s="41" t="s">
        <v>17</v>
      </c>
      <c r="O22" s="41" t="s">
        <v>18</v>
      </c>
      <c r="P22" s="144"/>
      <c r="Q22" s="144"/>
    </row>
    <row r="23" spans="1:17" ht="23.1" customHeight="1" x14ac:dyDescent="0.25">
      <c r="A23" s="15" t="s">
        <v>19</v>
      </c>
      <c r="B23" s="7"/>
      <c r="C23" s="8"/>
      <c r="D23" s="9"/>
      <c r="E23" s="7"/>
      <c r="F23" s="8"/>
      <c r="G23" s="8"/>
      <c r="H23" s="10"/>
      <c r="I23" s="11"/>
      <c r="J23" s="11"/>
      <c r="K23" s="11"/>
      <c r="L23" s="12"/>
      <c r="M23" s="11"/>
      <c r="N23" s="11"/>
      <c r="O23" s="14"/>
      <c r="P23" s="12"/>
      <c r="Q23" s="14"/>
    </row>
    <row r="24" spans="1:17" ht="23.1" customHeight="1" x14ac:dyDescent="0.25">
      <c r="A24" s="51" t="s">
        <v>20</v>
      </c>
      <c r="B24" s="51"/>
      <c r="C24" s="50"/>
      <c r="D24" s="52"/>
      <c r="E24" s="51"/>
      <c r="F24" s="50"/>
      <c r="G24" s="50"/>
      <c r="H24" s="54"/>
      <c r="I24" s="55"/>
      <c r="J24" s="55"/>
      <c r="K24" s="55"/>
      <c r="L24" s="56"/>
      <c r="M24" s="55"/>
      <c r="N24" s="55"/>
      <c r="O24" s="54"/>
      <c r="P24" s="56"/>
      <c r="Q24" s="54"/>
    </row>
    <row r="25" spans="1:17" ht="23.1" customHeight="1" x14ac:dyDescent="0.25">
      <c r="A25" s="15" t="s">
        <v>21</v>
      </c>
      <c r="B25" s="15"/>
      <c r="C25" s="6"/>
      <c r="D25" s="16"/>
      <c r="E25" s="15"/>
      <c r="F25" s="6"/>
      <c r="G25" s="6"/>
      <c r="H25" s="10"/>
      <c r="I25" s="17"/>
      <c r="J25" s="17"/>
      <c r="K25" s="17"/>
      <c r="L25" s="18"/>
      <c r="M25" s="17"/>
      <c r="N25" s="17"/>
      <c r="O25" s="10"/>
      <c r="P25" s="18"/>
      <c r="Q25" s="10"/>
    </row>
    <row r="26" spans="1:17" ht="23.1" customHeight="1" x14ac:dyDescent="0.25">
      <c r="A26" s="51" t="s">
        <v>22</v>
      </c>
      <c r="B26" s="51"/>
      <c r="C26" s="50"/>
      <c r="D26" s="52"/>
      <c r="E26" s="51"/>
      <c r="F26" s="50"/>
      <c r="G26" s="50"/>
      <c r="H26" s="54"/>
      <c r="I26" s="55"/>
      <c r="J26" s="55"/>
      <c r="K26" s="55"/>
      <c r="L26" s="56"/>
      <c r="M26" s="55"/>
      <c r="N26" s="55"/>
      <c r="O26" s="54"/>
      <c r="P26" s="56"/>
      <c r="Q26" s="54"/>
    </row>
    <row r="27" spans="1:17" ht="30" customHeight="1" x14ac:dyDescent="0.25">
      <c r="A27" s="15" t="s">
        <v>23</v>
      </c>
      <c r="B27" s="15"/>
      <c r="C27" s="6"/>
      <c r="D27" s="16"/>
      <c r="E27" s="15"/>
      <c r="F27" s="6"/>
      <c r="G27" s="6"/>
      <c r="H27" s="10"/>
      <c r="I27" s="17"/>
      <c r="J27" s="17"/>
      <c r="K27" s="17"/>
      <c r="L27" s="18"/>
      <c r="M27" s="17"/>
      <c r="N27" s="17"/>
      <c r="O27" s="10"/>
      <c r="P27" s="18"/>
      <c r="Q27" s="10"/>
    </row>
    <row r="28" spans="1:17" ht="23.1" customHeight="1" x14ac:dyDescent="0.25">
      <c r="A28" s="51" t="s">
        <v>39</v>
      </c>
      <c r="B28" s="51"/>
      <c r="C28" s="50"/>
      <c r="D28" s="52"/>
      <c r="E28" s="51"/>
      <c r="F28" s="50"/>
      <c r="G28" s="50"/>
      <c r="H28" s="54"/>
      <c r="I28" s="55"/>
      <c r="J28" s="55"/>
      <c r="K28" s="55"/>
      <c r="L28" s="56"/>
      <c r="M28" s="55"/>
      <c r="N28" s="55"/>
      <c r="O28" s="54"/>
      <c r="P28" s="56"/>
      <c r="Q28" s="54"/>
    </row>
    <row r="29" spans="1:17" ht="23.1" customHeight="1" x14ac:dyDescent="0.25">
      <c r="A29" s="15" t="s">
        <v>40</v>
      </c>
      <c r="B29" s="15"/>
      <c r="C29" s="6"/>
      <c r="D29" s="16"/>
      <c r="E29" s="15"/>
      <c r="F29" s="6"/>
      <c r="G29" s="6"/>
      <c r="H29" s="10"/>
      <c r="I29" s="17"/>
      <c r="J29" s="17"/>
      <c r="K29" s="17"/>
      <c r="L29" s="18"/>
      <c r="M29" s="17"/>
      <c r="N29" s="17"/>
      <c r="O29" s="10"/>
      <c r="P29" s="18"/>
      <c r="Q29" s="10"/>
    </row>
    <row r="30" spans="1:17" ht="23.1" customHeight="1" x14ac:dyDescent="0.25">
      <c r="A30" s="51" t="s">
        <v>25</v>
      </c>
      <c r="B30" s="51"/>
      <c r="C30" s="50"/>
      <c r="D30" s="52"/>
      <c r="E30" s="51"/>
      <c r="F30" s="50"/>
      <c r="G30" s="50"/>
      <c r="H30" s="54"/>
      <c r="I30" s="55"/>
      <c r="J30" s="55"/>
      <c r="K30" s="55"/>
      <c r="L30" s="56"/>
      <c r="M30" s="55"/>
      <c r="N30" s="55"/>
      <c r="O30" s="54"/>
      <c r="P30" s="56"/>
      <c r="Q30" s="54"/>
    </row>
    <row r="31" spans="1:17" ht="23.1" customHeight="1" x14ac:dyDescent="0.25">
      <c r="A31" s="15" t="s">
        <v>26</v>
      </c>
      <c r="B31" s="15"/>
      <c r="C31" s="6"/>
      <c r="D31" s="16"/>
      <c r="E31" s="15"/>
      <c r="F31" s="6"/>
      <c r="G31" s="6"/>
      <c r="H31" s="10"/>
      <c r="I31" s="17"/>
      <c r="J31" s="17"/>
      <c r="K31" s="17"/>
      <c r="L31" s="18"/>
      <c r="M31" s="17"/>
      <c r="N31" s="17"/>
      <c r="O31" s="10"/>
      <c r="P31" s="18"/>
      <c r="Q31" s="10"/>
    </row>
    <row r="32" spans="1:17" ht="23.1" customHeight="1" x14ac:dyDescent="0.25">
      <c r="A32" s="51" t="s">
        <v>27</v>
      </c>
      <c r="B32" s="51"/>
      <c r="C32" s="50"/>
      <c r="D32" s="52"/>
      <c r="E32" s="51"/>
      <c r="F32" s="50"/>
      <c r="G32" s="50"/>
      <c r="H32" s="54"/>
      <c r="I32" s="55"/>
      <c r="J32" s="55"/>
      <c r="K32" s="55"/>
      <c r="L32" s="56"/>
      <c r="M32" s="55"/>
      <c r="N32" s="55"/>
      <c r="O32" s="54"/>
      <c r="P32" s="56"/>
      <c r="Q32" s="54"/>
    </row>
    <row r="33" spans="1:17" ht="23.1" customHeight="1" x14ac:dyDescent="0.25">
      <c r="A33" s="15" t="s">
        <v>28</v>
      </c>
      <c r="B33" s="15"/>
      <c r="C33" s="6"/>
      <c r="D33" s="16"/>
      <c r="E33" s="15"/>
      <c r="F33" s="6"/>
      <c r="G33" s="6"/>
      <c r="H33" s="10"/>
      <c r="I33" s="17"/>
      <c r="J33" s="17"/>
      <c r="K33" s="17"/>
      <c r="L33" s="18"/>
      <c r="M33" s="17"/>
      <c r="N33" s="17"/>
      <c r="O33" s="10"/>
      <c r="P33" s="18"/>
      <c r="Q33" s="10"/>
    </row>
    <row r="34" spans="1:17" ht="23.1" customHeight="1" x14ac:dyDescent="0.25">
      <c r="A34" s="51" t="s">
        <v>29</v>
      </c>
      <c r="B34" s="57"/>
      <c r="C34" s="58"/>
      <c r="D34" s="59"/>
      <c r="E34" s="57"/>
      <c r="F34" s="58"/>
      <c r="G34" s="58"/>
      <c r="H34" s="54"/>
      <c r="I34" s="60"/>
      <c r="J34" s="60"/>
      <c r="K34" s="60"/>
      <c r="L34" s="61"/>
      <c r="M34" s="60"/>
      <c r="N34" s="60"/>
      <c r="O34" s="62"/>
      <c r="P34" s="61"/>
      <c r="Q34" s="62"/>
    </row>
    <row r="35" spans="1:17" ht="23.1" customHeight="1" x14ac:dyDescent="0.25">
      <c r="A35" s="124" t="s">
        <v>30</v>
      </c>
      <c r="B35" s="3">
        <f t="shared" ref="B35:G35" si="2">IFERROR(SUM(B23:B34),"")</f>
        <v>0</v>
      </c>
      <c r="C35" s="3">
        <f t="shared" si="2"/>
        <v>0</v>
      </c>
      <c r="D35" s="3">
        <f t="shared" si="2"/>
        <v>0</v>
      </c>
      <c r="E35" s="3">
        <f t="shared" si="2"/>
        <v>0</v>
      </c>
      <c r="F35" s="3">
        <f t="shared" si="2"/>
        <v>0</v>
      </c>
      <c r="G35" s="3">
        <f t="shared" si="2"/>
        <v>0</v>
      </c>
      <c r="H35" s="4" t="str">
        <f>IFERROR(F35/G35*100,"")</f>
        <v/>
      </c>
      <c r="I35" s="5">
        <f t="shared" ref="I35:P35" si="3">IFERROR(SUM(I23:I34),"")</f>
        <v>0</v>
      </c>
      <c r="J35" s="5">
        <f t="shared" si="3"/>
        <v>0</v>
      </c>
      <c r="K35" s="5">
        <f t="shared" si="3"/>
        <v>0</v>
      </c>
      <c r="L35" s="5">
        <f t="shared" si="3"/>
        <v>0</v>
      </c>
      <c r="M35" s="5">
        <f t="shared" si="3"/>
        <v>0</v>
      </c>
      <c r="N35" s="5">
        <f t="shared" si="3"/>
        <v>0</v>
      </c>
      <c r="O35" s="5">
        <f t="shared" si="3"/>
        <v>0</v>
      </c>
      <c r="P35" s="5">
        <f t="shared" si="3"/>
        <v>0</v>
      </c>
      <c r="Q35" s="5" t="str">
        <f>IFERROR(O35/P35*100,"")</f>
        <v/>
      </c>
    </row>
    <row r="36" spans="1:17" ht="15.75" x14ac:dyDescent="0.25">
      <c r="A36" s="135" t="s">
        <v>43</v>
      </c>
      <c r="B36" s="136"/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</row>
    <row r="37" spans="1:17" ht="15.75" x14ac:dyDescent="0.25">
      <c r="A37" s="125" t="s">
        <v>31</v>
      </c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</row>
    <row r="38" spans="1:17" ht="15.75" x14ac:dyDescent="0.25">
      <c r="A38" s="125" t="s">
        <v>32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</row>
    <row r="39" spans="1:17" ht="40.5" customHeight="1" x14ac:dyDescent="0.25">
      <c r="A39" s="145" t="s">
        <v>42</v>
      </c>
      <c r="B39" s="146"/>
      <c r="C39" s="147" t="s">
        <v>34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8" t="s">
        <v>41</v>
      </c>
      <c r="P39" s="148"/>
      <c r="Q39" s="149"/>
    </row>
    <row r="40" spans="1:17" ht="39.75" customHeight="1" x14ac:dyDescent="0.25">
      <c r="A40" s="150" t="s">
        <v>1</v>
      </c>
      <c r="B40" s="150" t="s">
        <v>2</v>
      </c>
      <c r="C40" s="150"/>
      <c r="D40" s="150"/>
      <c r="E40" s="151" t="s">
        <v>3</v>
      </c>
      <c r="F40" s="151" t="s">
        <v>4</v>
      </c>
      <c r="G40" s="151" t="s">
        <v>5</v>
      </c>
      <c r="H40" s="151" t="s">
        <v>37</v>
      </c>
      <c r="I40" s="150" t="s">
        <v>6</v>
      </c>
      <c r="J40" s="150"/>
      <c r="K40" s="150"/>
      <c r="L40" s="150" t="s">
        <v>7</v>
      </c>
      <c r="M40" s="150"/>
      <c r="N40" s="150"/>
      <c r="O40" s="150"/>
      <c r="P40" s="151" t="s">
        <v>8</v>
      </c>
      <c r="Q40" s="151" t="s">
        <v>38</v>
      </c>
    </row>
    <row r="41" spans="1:17" ht="178.5" customHeight="1" x14ac:dyDescent="0.25">
      <c r="A41" s="150"/>
      <c r="B41" s="40" t="s">
        <v>9</v>
      </c>
      <c r="C41" s="40" t="s">
        <v>10</v>
      </c>
      <c r="D41" s="40" t="s">
        <v>11</v>
      </c>
      <c r="E41" s="152"/>
      <c r="F41" s="152"/>
      <c r="G41" s="152"/>
      <c r="H41" s="152"/>
      <c r="I41" s="40" t="s">
        <v>12</v>
      </c>
      <c r="J41" s="40" t="s">
        <v>13</v>
      </c>
      <c r="K41" s="40" t="s">
        <v>14</v>
      </c>
      <c r="L41" s="40" t="s">
        <v>15</v>
      </c>
      <c r="M41" s="40" t="s">
        <v>16</v>
      </c>
      <c r="N41" s="40" t="s">
        <v>17</v>
      </c>
      <c r="O41" s="40" t="s">
        <v>18</v>
      </c>
      <c r="P41" s="152"/>
      <c r="Q41" s="152"/>
    </row>
    <row r="42" spans="1:17" ht="25.5" customHeight="1" x14ac:dyDescent="0.25">
      <c r="A42" s="46" t="s">
        <v>19</v>
      </c>
      <c r="B42" s="102">
        <v>56</v>
      </c>
      <c r="C42" s="103">
        <v>97</v>
      </c>
      <c r="D42" s="104">
        <v>69</v>
      </c>
      <c r="E42" s="102">
        <v>0</v>
      </c>
      <c r="F42" s="103">
        <v>0</v>
      </c>
      <c r="G42" s="103">
        <v>0</v>
      </c>
      <c r="H42" s="105"/>
      <c r="I42" s="106">
        <v>927.78899999999999</v>
      </c>
      <c r="J42" s="107">
        <v>0</v>
      </c>
      <c r="K42" s="105">
        <v>927.78899999999999</v>
      </c>
      <c r="L42" s="106">
        <v>0</v>
      </c>
      <c r="M42" s="107">
        <v>1186</v>
      </c>
      <c r="N42" s="107">
        <v>0</v>
      </c>
      <c r="O42" s="105">
        <v>1186</v>
      </c>
      <c r="P42" s="106">
        <v>2074</v>
      </c>
      <c r="Q42" s="105">
        <v>57.18</v>
      </c>
    </row>
    <row r="43" spans="1:17" ht="25.5" customHeight="1" x14ac:dyDescent="0.25">
      <c r="A43" s="47" t="s">
        <v>20</v>
      </c>
      <c r="B43" s="63">
        <v>22</v>
      </c>
      <c r="C43" s="65">
        <v>33.833300000000001</v>
      </c>
      <c r="D43" s="66">
        <v>23</v>
      </c>
      <c r="E43" s="63">
        <v>0</v>
      </c>
      <c r="F43" s="65">
        <v>0</v>
      </c>
      <c r="G43" s="65">
        <v>0</v>
      </c>
      <c r="H43" s="67"/>
      <c r="I43" s="68">
        <v>353.75799999999998</v>
      </c>
      <c r="J43" s="69">
        <v>0</v>
      </c>
      <c r="K43" s="67">
        <v>353.75799999999998</v>
      </c>
      <c r="L43" s="68">
        <v>0</v>
      </c>
      <c r="M43" s="69">
        <v>381</v>
      </c>
      <c r="N43" s="69">
        <v>0</v>
      </c>
      <c r="O43" s="67">
        <v>381</v>
      </c>
      <c r="P43" s="68">
        <v>665</v>
      </c>
      <c r="Q43" s="67">
        <v>57.29</v>
      </c>
    </row>
    <row r="44" spans="1:17" ht="25.5" customHeight="1" x14ac:dyDescent="0.25">
      <c r="A44" s="46" t="s">
        <v>21</v>
      </c>
      <c r="B44" s="108">
        <v>58</v>
      </c>
      <c r="C44" s="109">
        <v>91.416600000000003</v>
      </c>
      <c r="D44" s="110">
        <v>64</v>
      </c>
      <c r="E44" s="108">
        <v>0</v>
      </c>
      <c r="F44" s="109">
        <v>0</v>
      </c>
      <c r="G44" s="109">
        <v>0</v>
      </c>
      <c r="H44" s="111"/>
      <c r="I44" s="112">
        <v>673.31</v>
      </c>
      <c r="J44" s="113">
        <v>0</v>
      </c>
      <c r="K44" s="111">
        <v>673.31</v>
      </c>
      <c r="L44" s="112">
        <v>0</v>
      </c>
      <c r="M44" s="113">
        <v>770</v>
      </c>
      <c r="N44" s="113">
        <v>0</v>
      </c>
      <c r="O44" s="111">
        <v>770</v>
      </c>
      <c r="P44" s="112">
        <v>1612</v>
      </c>
      <c r="Q44" s="111">
        <v>47.77</v>
      </c>
    </row>
    <row r="45" spans="1:17" ht="25.5" customHeight="1" x14ac:dyDescent="0.25">
      <c r="A45" s="47" t="s">
        <v>22</v>
      </c>
      <c r="B45" s="63">
        <v>91</v>
      </c>
      <c r="C45" s="65">
        <v>152.94999999999999</v>
      </c>
      <c r="D45" s="66">
        <v>106.1391</v>
      </c>
      <c r="E45" s="63">
        <v>0</v>
      </c>
      <c r="F45" s="65">
        <v>0</v>
      </c>
      <c r="G45" s="65">
        <v>0</v>
      </c>
      <c r="H45" s="67"/>
      <c r="I45" s="68">
        <v>1126.4580000000001</v>
      </c>
      <c r="J45" s="69">
        <v>0</v>
      </c>
      <c r="K45" s="67">
        <v>1126.4580000000001</v>
      </c>
      <c r="L45" s="68">
        <v>0</v>
      </c>
      <c r="M45" s="69">
        <v>1403.211</v>
      </c>
      <c r="N45" s="69">
        <v>0</v>
      </c>
      <c r="O45" s="67">
        <v>1403.211</v>
      </c>
      <c r="P45" s="68">
        <v>2440.6419999999998</v>
      </c>
      <c r="Q45" s="67">
        <v>57.49</v>
      </c>
    </row>
    <row r="46" spans="1:17" ht="25.5" customHeight="1" x14ac:dyDescent="0.25">
      <c r="A46" s="46" t="s">
        <v>23</v>
      </c>
      <c r="B46" s="108">
        <v>109</v>
      </c>
      <c r="C46" s="109">
        <v>179.53299999999999</v>
      </c>
      <c r="D46" s="110">
        <v>130.47540000000001</v>
      </c>
      <c r="E46" s="108">
        <v>0</v>
      </c>
      <c r="F46" s="109">
        <v>0</v>
      </c>
      <c r="G46" s="109">
        <v>0</v>
      </c>
      <c r="H46" s="111"/>
      <c r="I46" s="112">
        <v>1500.0989999999999</v>
      </c>
      <c r="J46" s="113">
        <v>0</v>
      </c>
      <c r="K46" s="111">
        <v>1500.0989999999999</v>
      </c>
      <c r="L46" s="112">
        <v>0</v>
      </c>
      <c r="M46" s="113">
        <v>1891.481</v>
      </c>
      <c r="N46" s="113">
        <v>0</v>
      </c>
      <c r="O46" s="111">
        <v>1891.481</v>
      </c>
      <c r="P46" s="112">
        <v>3259.0810000000001</v>
      </c>
      <c r="Q46" s="111">
        <v>58.04</v>
      </c>
    </row>
    <row r="47" spans="1:17" ht="25.5" customHeight="1" x14ac:dyDescent="0.25">
      <c r="A47" s="47" t="s">
        <v>39</v>
      </c>
      <c r="B47" s="70">
        <v>145</v>
      </c>
      <c r="C47" s="71">
        <v>232.41666699999999</v>
      </c>
      <c r="D47" s="66">
        <v>181.60599999999999</v>
      </c>
      <c r="E47" s="70">
        <v>0</v>
      </c>
      <c r="F47" s="71">
        <v>0</v>
      </c>
      <c r="G47" s="71">
        <v>0</v>
      </c>
      <c r="H47" s="67"/>
      <c r="I47" s="72">
        <v>2236.25</v>
      </c>
      <c r="J47" s="73">
        <v>0</v>
      </c>
      <c r="K47" s="67">
        <v>2236.25</v>
      </c>
      <c r="L47" s="72">
        <v>0</v>
      </c>
      <c r="M47" s="73">
        <v>2932.4</v>
      </c>
      <c r="N47" s="73">
        <v>0</v>
      </c>
      <c r="O47" s="67">
        <v>2932.4</v>
      </c>
      <c r="P47" s="72">
        <v>4896.9369999999999</v>
      </c>
      <c r="Q47" s="67">
        <v>59.88</v>
      </c>
    </row>
    <row r="48" spans="1:17" ht="25.5" customHeight="1" x14ac:dyDescent="0.25">
      <c r="A48" s="46" t="s">
        <v>40</v>
      </c>
      <c r="B48" s="114">
        <v>87</v>
      </c>
      <c r="C48" s="115">
        <v>144.25</v>
      </c>
      <c r="D48" s="116">
        <v>112.3965</v>
      </c>
      <c r="E48" s="114">
        <v>0</v>
      </c>
      <c r="F48" s="115">
        <v>0</v>
      </c>
      <c r="G48" s="115">
        <v>0</v>
      </c>
      <c r="H48" s="111"/>
      <c r="I48" s="117">
        <v>1244.8589999999999</v>
      </c>
      <c r="J48" s="118">
        <v>0</v>
      </c>
      <c r="K48" s="111">
        <v>1244.8589999999999</v>
      </c>
      <c r="L48" s="117">
        <v>0</v>
      </c>
      <c r="M48" s="118">
        <v>1635.79</v>
      </c>
      <c r="N48" s="118">
        <v>0</v>
      </c>
      <c r="O48" s="111">
        <v>1635.79</v>
      </c>
      <c r="P48" s="117">
        <v>2296.482</v>
      </c>
      <c r="Q48" s="111">
        <v>71.23</v>
      </c>
    </row>
    <row r="49" spans="1:17" ht="25.5" customHeight="1" x14ac:dyDescent="0.25">
      <c r="A49" s="47" t="s">
        <v>25</v>
      </c>
      <c r="B49" s="70"/>
      <c r="C49" s="71"/>
      <c r="D49" s="75"/>
      <c r="E49" s="70"/>
      <c r="F49" s="71"/>
      <c r="G49" s="71"/>
      <c r="H49" s="67"/>
      <c r="I49" s="72"/>
      <c r="J49" s="73"/>
      <c r="K49" s="67"/>
      <c r="L49" s="72"/>
      <c r="M49" s="73"/>
      <c r="N49" s="73"/>
      <c r="O49" s="67"/>
      <c r="P49" s="72"/>
      <c r="Q49" s="67"/>
    </row>
    <row r="50" spans="1:17" ht="25.5" customHeight="1" x14ac:dyDescent="0.25">
      <c r="A50" s="46" t="s">
        <v>26</v>
      </c>
      <c r="B50" s="114"/>
      <c r="C50" s="115"/>
      <c r="D50" s="116"/>
      <c r="E50" s="114"/>
      <c r="F50" s="115"/>
      <c r="G50" s="115"/>
      <c r="H50" s="111"/>
      <c r="I50" s="117"/>
      <c r="J50" s="118"/>
      <c r="K50" s="111"/>
      <c r="L50" s="117"/>
      <c r="M50" s="118"/>
      <c r="N50" s="118"/>
      <c r="O50" s="111"/>
      <c r="P50" s="117"/>
      <c r="Q50" s="111"/>
    </row>
    <row r="51" spans="1:17" ht="25.5" customHeight="1" x14ac:dyDescent="0.25">
      <c r="A51" s="47" t="s">
        <v>27</v>
      </c>
      <c r="B51" s="70"/>
      <c r="C51" s="71"/>
      <c r="D51" s="75"/>
      <c r="E51" s="70"/>
      <c r="F51" s="71"/>
      <c r="G51" s="71"/>
      <c r="H51" s="67"/>
      <c r="I51" s="72"/>
      <c r="J51" s="73"/>
      <c r="K51" s="67"/>
      <c r="L51" s="72"/>
      <c r="M51" s="73"/>
      <c r="N51" s="73"/>
      <c r="O51" s="67"/>
      <c r="P51" s="72"/>
      <c r="Q51" s="67"/>
    </row>
    <row r="52" spans="1:17" ht="25.5" customHeight="1" x14ac:dyDescent="0.25">
      <c r="A52" s="46" t="s">
        <v>28</v>
      </c>
      <c r="B52" s="114"/>
      <c r="C52" s="115"/>
      <c r="D52" s="116"/>
      <c r="E52" s="114"/>
      <c r="F52" s="115"/>
      <c r="G52" s="115"/>
      <c r="H52" s="111"/>
      <c r="I52" s="117"/>
      <c r="J52" s="118"/>
      <c r="K52" s="111"/>
      <c r="L52" s="117"/>
      <c r="M52" s="118"/>
      <c r="N52" s="118"/>
      <c r="O52" s="111"/>
      <c r="P52" s="117"/>
      <c r="Q52" s="111"/>
    </row>
    <row r="53" spans="1:17" ht="25.5" customHeight="1" x14ac:dyDescent="0.25">
      <c r="A53" s="47" t="s">
        <v>29</v>
      </c>
      <c r="B53" s="76"/>
      <c r="C53" s="77"/>
      <c r="D53" s="78"/>
      <c r="E53" s="76"/>
      <c r="F53" s="77"/>
      <c r="G53" s="77"/>
      <c r="H53" s="79"/>
      <c r="I53" s="80"/>
      <c r="J53" s="81"/>
      <c r="K53" s="79"/>
      <c r="L53" s="80"/>
      <c r="M53" s="81"/>
      <c r="N53" s="81"/>
      <c r="O53" s="79"/>
      <c r="P53" s="80"/>
      <c r="Q53" s="79"/>
    </row>
    <row r="54" spans="1:17" ht="25.5" customHeight="1" x14ac:dyDescent="0.25">
      <c r="A54" s="120" t="s">
        <v>30</v>
      </c>
      <c r="B54" s="121">
        <f t="shared" ref="B54:G54" si="4">IFERROR(SUM(B42:B53),"")</f>
        <v>568</v>
      </c>
      <c r="C54" s="121">
        <f t="shared" si="4"/>
        <v>931.39956699999993</v>
      </c>
      <c r="D54" s="121">
        <f t="shared" si="4"/>
        <v>686.61699999999996</v>
      </c>
      <c r="E54" s="121">
        <f t="shared" si="4"/>
        <v>0</v>
      </c>
      <c r="F54" s="121">
        <f t="shared" si="4"/>
        <v>0</v>
      </c>
      <c r="G54" s="121">
        <f t="shared" si="4"/>
        <v>0</v>
      </c>
      <c r="H54" s="122" t="str">
        <f>IFERROR(F54/G54*100,"")</f>
        <v/>
      </c>
      <c r="I54" s="122">
        <f t="shared" ref="I54:P54" si="5">IFERROR(SUM(I42:I53),"")</f>
        <v>8062.5229999999992</v>
      </c>
      <c r="J54" s="122">
        <f t="shared" si="5"/>
        <v>0</v>
      </c>
      <c r="K54" s="122">
        <f t="shared" si="5"/>
        <v>8062.5229999999992</v>
      </c>
      <c r="L54" s="122">
        <f t="shared" si="5"/>
        <v>0</v>
      </c>
      <c r="M54" s="122">
        <f t="shared" si="5"/>
        <v>10199.882000000001</v>
      </c>
      <c r="N54" s="122">
        <f t="shared" si="5"/>
        <v>0</v>
      </c>
      <c r="O54" s="122">
        <f t="shared" si="5"/>
        <v>10199.882000000001</v>
      </c>
      <c r="P54" s="123">
        <f t="shared" si="5"/>
        <v>17244.142</v>
      </c>
      <c r="Q54" s="122">
        <f>IFERROR(O54/P54*100,"")</f>
        <v>59.14983766661166</v>
      </c>
    </row>
    <row r="55" spans="1:17" ht="22.5" customHeight="1" x14ac:dyDescent="0.25">
      <c r="A55" s="135" t="s">
        <v>43</v>
      </c>
      <c r="B55" s="136"/>
      <c r="C55" s="136"/>
      <c r="D55" s="136"/>
      <c r="E55" s="136"/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</row>
    <row r="56" spans="1:17" ht="22.5" customHeight="1" x14ac:dyDescent="0.25">
      <c r="A56" s="125" t="s">
        <v>31</v>
      </c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</row>
    <row r="57" spans="1:17" ht="22.5" customHeight="1" x14ac:dyDescent="0.25">
      <c r="A57" s="125" t="s">
        <v>32</v>
      </c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</row>
    <row r="58" spans="1:17" ht="47.25" customHeight="1" x14ac:dyDescent="0.25">
      <c r="A58" s="153" t="s">
        <v>42</v>
      </c>
      <c r="B58" s="154"/>
      <c r="C58" s="155" t="s">
        <v>35</v>
      </c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6" t="s">
        <v>41</v>
      </c>
      <c r="P58" s="156"/>
      <c r="Q58" s="157"/>
    </row>
    <row r="59" spans="1:17" ht="33.75" customHeight="1" x14ac:dyDescent="0.25">
      <c r="A59" s="158" t="s">
        <v>1</v>
      </c>
      <c r="B59" s="158" t="s">
        <v>2</v>
      </c>
      <c r="C59" s="158"/>
      <c r="D59" s="158"/>
      <c r="E59" s="159" t="s">
        <v>3</v>
      </c>
      <c r="F59" s="159" t="s">
        <v>4</v>
      </c>
      <c r="G59" s="159" t="s">
        <v>5</v>
      </c>
      <c r="H59" s="159" t="s">
        <v>37</v>
      </c>
      <c r="I59" s="158" t="s">
        <v>6</v>
      </c>
      <c r="J59" s="158"/>
      <c r="K59" s="158"/>
      <c r="L59" s="158" t="s">
        <v>7</v>
      </c>
      <c r="M59" s="158"/>
      <c r="N59" s="158"/>
      <c r="O59" s="158"/>
      <c r="P59" s="159" t="s">
        <v>8</v>
      </c>
      <c r="Q59" s="159" t="s">
        <v>38</v>
      </c>
    </row>
    <row r="60" spans="1:17" ht="164.25" customHeight="1" x14ac:dyDescent="0.25">
      <c r="A60" s="158"/>
      <c r="B60" s="39" t="s">
        <v>9</v>
      </c>
      <c r="C60" s="39" t="s">
        <v>10</v>
      </c>
      <c r="D60" s="39" t="s">
        <v>11</v>
      </c>
      <c r="E60" s="160"/>
      <c r="F60" s="160"/>
      <c r="G60" s="160"/>
      <c r="H60" s="160"/>
      <c r="I60" s="39" t="s">
        <v>12</v>
      </c>
      <c r="J60" s="39" t="s">
        <v>13</v>
      </c>
      <c r="K60" s="39" t="s">
        <v>14</v>
      </c>
      <c r="L60" s="39" t="s">
        <v>15</v>
      </c>
      <c r="M60" s="39" t="s">
        <v>16</v>
      </c>
      <c r="N60" s="39" t="s">
        <v>17</v>
      </c>
      <c r="O60" s="39" t="s">
        <v>18</v>
      </c>
      <c r="P60" s="160"/>
      <c r="Q60" s="160"/>
    </row>
    <row r="61" spans="1:17" ht="24.75" customHeight="1" x14ac:dyDescent="0.25">
      <c r="A61" s="48" t="s">
        <v>19</v>
      </c>
      <c r="B61" s="88"/>
      <c r="C61" s="89"/>
      <c r="D61" s="90"/>
      <c r="E61" s="88"/>
      <c r="F61" s="89"/>
      <c r="G61" s="89"/>
      <c r="H61" s="91"/>
      <c r="I61" s="93"/>
      <c r="J61" s="94"/>
      <c r="K61" s="94"/>
      <c r="L61" s="93"/>
      <c r="M61" s="94"/>
      <c r="N61" s="94"/>
      <c r="O61" s="91"/>
      <c r="P61" s="94"/>
      <c r="Q61" s="91"/>
    </row>
    <row r="62" spans="1:17" ht="24.75" customHeight="1" x14ac:dyDescent="0.25">
      <c r="A62" s="47" t="s">
        <v>20</v>
      </c>
      <c r="B62" s="70"/>
      <c r="C62" s="71"/>
      <c r="D62" s="75"/>
      <c r="E62" s="70"/>
      <c r="F62" s="71"/>
      <c r="G62" s="71"/>
      <c r="H62" s="67"/>
      <c r="I62" s="72"/>
      <c r="J62" s="73"/>
      <c r="K62" s="73"/>
      <c r="L62" s="72"/>
      <c r="M62" s="73"/>
      <c r="N62" s="73"/>
      <c r="O62" s="67"/>
      <c r="P62" s="73"/>
      <c r="Q62" s="67"/>
    </row>
    <row r="63" spans="1:17" ht="24.75" customHeight="1" x14ac:dyDescent="0.25">
      <c r="A63" s="48" t="s">
        <v>21</v>
      </c>
      <c r="B63" s="95"/>
      <c r="C63" s="96"/>
      <c r="D63" s="97"/>
      <c r="E63" s="95"/>
      <c r="F63" s="96"/>
      <c r="G63" s="96"/>
      <c r="H63" s="98"/>
      <c r="I63" s="99"/>
      <c r="J63" s="100"/>
      <c r="K63" s="100"/>
      <c r="L63" s="99"/>
      <c r="M63" s="100"/>
      <c r="N63" s="100"/>
      <c r="O63" s="98"/>
      <c r="P63" s="100"/>
      <c r="Q63" s="98"/>
    </row>
    <row r="64" spans="1:17" ht="24.75" customHeight="1" x14ac:dyDescent="0.25">
      <c r="A64" s="47" t="s">
        <v>22</v>
      </c>
      <c r="B64" s="70"/>
      <c r="C64" s="71"/>
      <c r="D64" s="75"/>
      <c r="E64" s="70"/>
      <c r="F64" s="71"/>
      <c r="G64" s="71"/>
      <c r="H64" s="67"/>
      <c r="I64" s="72"/>
      <c r="J64" s="73"/>
      <c r="K64" s="73"/>
      <c r="L64" s="72"/>
      <c r="M64" s="73"/>
      <c r="N64" s="73"/>
      <c r="O64" s="67"/>
      <c r="P64" s="73"/>
      <c r="Q64" s="67"/>
    </row>
    <row r="65" spans="1:17" ht="24.75" customHeight="1" x14ac:dyDescent="0.25">
      <c r="A65" s="48" t="s">
        <v>23</v>
      </c>
      <c r="B65" s="95"/>
      <c r="C65" s="96"/>
      <c r="D65" s="97"/>
      <c r="E65" s="95"/>
      <c r="F65" s="96"/>
      <c r="G65" s="96"/>
      <c r="H65" s="98"/>
      <c r="I65" s="99"/>
      <c r="J65" s="100"/>
      <c r="K65" s="100"/>
      <c r="L65" s="99"/>
      <c r="M65" s="100"/>
      <c r="N65" s="100"/>
      <c r="O65" s="98"/>
      <c r="P65" s="100"/>
      <c r="Q65" s="98"/>
    </row>
    <row r="66" spans="1:17" ht="24.75" customHeight="1" x14ac:dyDescent="0.25">
      <c r="A66" s="47" t="s">
        <v>39</v>
      </c>
      <c r="B66" s="70"/>
      <c r="C66" s="71"/>
      <c r="D66" s="75"/>
      <c r="E66" s="70"/>
      <c r="F66" s="71"/>
      <c r="G66" s="71"/>
      <c r="H66" s="67"/>
      <c r="I66" s="72"/>
      <c r="J66" s="73"/>
      <c r="K66" s="73"/>
      <c r="L66" s="72"/>
      <c r="M66" s="73"/>
      <c r="N66" s="73"/>
      <c r="O66" s="67"/>
      <c r="P66" s="73"/>
      <c r="Q66" s="67"/>
    </row>
    <row r="67" spans="1:17" ht="24.75" customHeight="1" x14ac:dyDescent="0.25">
      <c r="A67" s="48" t="s">
        <v>40</v>
      </c>
      <c r="B67" s="95"/>
      <c r="C67" s="96"/>
      <c r="D67" s="97"/>
      <c r="E67" s="95"/>
      <c r="F67" s="96"/>
      <c r="G67" s="96"/>
      <c r="H67" s="98"/>
      <c r="I67" s="99"/>
      <c r="J67" s="100"/>
      <c r="K67" s="100"/>
      <c r="L67" s="99"/>
      <c r="M67" s="100"/>
      <c r="N67" s="100"/>
      <c r="O67" s="98"/>
      <c r="P67" s="100"/>
      <c r="Q67" s="98"/>
    </row>
    <row r="68" spans="1:17" ht="24.75" customHeight="1" x14ac:dyDescent="0.25">
      <c r="A68" s="47" t="s">
        <v>25</v>
      </c>
      <c r="B68" s="70"/>
      <c r="C68" s="71"/>
      <c r="D68" s="75"/>
      <c r="E68" s="70"/>
      <c r="F68" s="71"/>
      <c r="G68" s="71"/>
      <c r="H68" s="67"/>
      <c r="I68" s="72"/>
      <c r="J68" s="73"/>
      <c r="K68" s="73"/>
      <c r="L68" s="72"/>
      <c r="M68" s="73"/>
      <c r="N68" s="73"/>
      <c r="O68" s="67"/>
      <c r="P68" s="73"/>
      <c r="Q68" s="67"/>
    </row>
    <row r="69" spans="1:17" ht="24.75" customHeight="1" x14ac:dyDescent="0.25">
      <c r="A69" s="48" t="s">
        <v>26</v>
      </c>
      <c r="B69" s="95"/>
      <c r="C69" s="96"/>
      <c r="D69" s="97"/>
      <c r="E69" s="95"/>
      <c r="F69" s="96"/>
      <c r="G69" s="96"/>
      <c r="H69" s="98"/>
      <c r="I69" s="99"/>
      <c r="J69" s="100"/>
      <c r="K69" s="100"/>
      <c r="L69" s="99"/>
      <c r="M69" s="100"/>
      <c r="N69" s="100"/>
      <c r="O69" s="98"/>
      <c r="P69" s="100"/>
      <c r="Q69" s="98"/>
    </row>
    <row r="70" spans="1:17" ht="24.75" customHeight="1" x14ac:dyDescent="0.25">
      <c r="A70" s="47" t="s">
        <v>27</v>
      </c>
      <c r="B70" s="70"/>
      <c r="C70" s="71"/>
      <c r="D70" s="75"/>
      <c r="E70" s="70"/>
      <c r="F70" s="71"/>
      <c r="G70" s="71"/>
      <c r="H70" s="67"/>
      <c r="I70" s="72"/>
      <c r="J70" s="73"/>
      <c r="K70" s="73"/>
      <c r="L70" s="72"/>
      <c r="M70" s="73"/>
      <c r="N70" s="73"/>
      <c r="O70" s="67"/>
      <c r="P70" s="73"/>
      <c r="Q70" s="67"/>
    </row>
    <row r="71" spans="1:17" ht="24.75" customHeight="1" x14ac:dyDescent="0.25">
      <c r="A71" s="48" t="s">
        <v>28</v>
      </c>
      <c r="B71" s="95"/>
      <c r="C71" s="96"/>
      <c r="D71" s="97"/>
      <c r="E71" s="95"/>
      <c r="F71" s="96"/>
      <c r="G71" s="96"/>
      <c r="H71" s="98"/>
      <c r="I71" s="99"/>
      <c r="J71" s="100"/>
      <c r="K71" s="100"/>
      <c r="L71" s="99"/>
      <c r="M71" s="100"/>
      <c r="N71" s="100"/>
      <c r="O71" s="98"/>
      <c r="P71" s="100"/>
      <c r="Q71" s="98"/>
    </row>
    <row r="72" spans="1:17" ht="24.75" customHeight="1" x14ac:dyDescent="0.25">
      <c r="A72" s="47" t="s">
        <v>29</v>
      </c>
      <c r="B72" s="76"/>
      <c r="C72" s="77"/>
      <c r="D72" s="78"/>
      <c r="E72" s="76"/>
      <c r="F72" s="77"/>
      <c r="G72" s="77"/>
      <c r="H72" s="79"/>
      <c r="I72" s="80"/>
      <c r="J72" s="81"/>
      <c r="K72" s="81"/>
      <c r="L72" s="80"/>
      <c r="M72" s="81"/>
      <c r="N72" s="81"/>
      <c r="O72" s="79"/>
      <c r="P72" s="81"/>
      <c r="Q72" s="79"/>
    </row>
    <row r="73" spans="1:17" ht="34.5" customHeight="1" x14ac:dyDescent="0.25">
      <c r="A73" s="85" t="s">
        <v>30</v>
      </c>
      <c r="B73" s="86">
        <f t="shared" ref="B73:G73" si="6">IFERROR(SUM(B61:B72),"")</f>
        <v>0</v>
      </c>
      <c r="C73" s="86">
        <f t="shared" si="6"/>
        <v>0</v>
      </c>
      <c r="D73" s="86">
        <f t="shared" si="6"/>
        <v>0</v>
      </c>
      <c r="E73" s="86">
        <f t="shared" si="6"/>
        <v>0</v>
      </c>
      <c r="F73" s="86">
        <f t="shared" si="6"/>
        <v>0</v>
      </c>
      <c r="G73" s="86">
        <f t="shared" si="6"/>
        <v>0</v>
      </c>
      <c r="H73" s="87" t="str">
        <f>IFERROR(F73/G73*100,"")</f>
        <v/>
      </c>
      <c r="I73" s="87">
        <f t="shared" ref="I73:P73" si="7">IFERROR(SUM(I61:I72),"")</f>
        <v>0</v>
      </c>
      <c r="J73" s="87">
        <f t="shared" si="7"/>
        <v>0</v>
      </c>
      <c r="K73" s="87">
        <f t="shared" si="7"/>
        <v>0</v>
      </c>
      <c r="L73" s="87">
        <f t="shared" si="7"/>
        <v>0</v>
      </c>
      <c r="M73" s="87">
        <f t="shared" si="7"/>
        <v>0</v>
      </c>
      <c r="N73" s="87">
        <f t="shared" si="7"/>
        <v>0</v>
      </c>
      <c r="O73" s="87">
        <f t="shared" si="7"/>
        <v>0</v>
      </c>
      <c r="P73" s="87">
        <f t="shared" si="7"/>
        <v>0</v>
      </c>
      <c r="Q73" s="87" t="str">
        <f>IFERROR(O73/P73*100,"")</f>
        <v/>
      </c>
    </row>
    <row r="74" spans="1:17" ht="15.75" x14ac:dyDescent="0.25">
      <c r="A74" s="135" t="s">
        <v>43</v>
      </c>
      <c r="B74" s="136"/>
      <c r="C74" s="136"/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</row>
    <row r="75" spans="1:17" ht="15.75" x14ac:dyDescent="0.25">
      <c r="A75" s="125" t="s">
        <v>31</v>
      </c>
      <c r="B75" s="125"/>
      <c r="C75" s="125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</row>
    <row r="76" spans="1:17" ht="15.75" x14ac:dyDescent="0.25">
      <c r="A76" s="125" t="s">
        <v>32</v>
      </c>
      <c r="B76" s="125"/>
      <c r="C76" s="125"/>
      <c r="D76" s="125"/>
      <c r="E76" s="125"/>
      <c r="F76" s="125"/>
      <c r="G76" s="125"/>
      <c r="H76" s="125"/>
      <c r="I76" s="125"/>
      <c r="J76" s="125"/>
      <c r="K76" s="125"/>
      <c r="L76" s="125"/>
      <c r="M76" s="125"/>
      <c r="N76" s="125"/>
      <c r="O76" s="125"/>
      <c r="P76" s="125"/>
      <c r="Q76" s="125"/>
    </row>
    <row r="79" spans="1:17" ht="18.75" x14ac:dyDescent="0.3">
      <c r="H79" s="82"/>
      <c r="Q79" s="82"/>
    </row>
    <row r="81" spans="8:17" ht="18.75" x14ac:dyDescent="0.3">
      <c r="H81" s="82"/>
      <c r="Q81" s="82"/>
    </row>
    <row r="83" spans="8:17" ht="18.75" x14ac:dyDescent="0.3">
      <c r="H83" s="82"/>
      <c r="Q83" s="82"/>
    </row>
    <row r="85" spans="8:17" ht="18.75" x14ac:dyDescent="0.3">
      <c r="H85" s="82"/>
      <c r="Q85" s="82"/>
    </row>
    <row r="87" spans="8:17" ht="18.75" x14ac:dyDescent="0.3">
      <c r="H87" s="82"/>
      <c r="Q87" s="82"/>
    </row>
    <row r="89" spans="8:17" ht="18.75" x14ac:dyDescent="0.3">
      <c r="H89" s="82"/>
      <c r="Q89" s="82"/>
    </row>
    <row r="91" spans="8:17" ht="18.75" x14ac:dyDescent="0.3">
      <c r="H91" s="82"/>
      <c r="Q91" s="82"/>
    </row>
    <row r="93" spans="8:17" ht="18.75" x14ac:dyDescent="0.3">
      <c r="H93" s="82"/>
      <c r="Q93" s="82"/>
    </row>
    <row r="95" spans="8:17" ht="18.75" x14ac:dyDescent="0.3">
      <c r="H95" s="82"/>
      <c r="Q95" s="82"/>
    </row>
    <row r="96" spans="8:17" ht="18.75" x14ac:dyDescent="0.3">
      <c r="H96" s="82"/>
      <c r="Q96" s="82"/>
    </row>
    <row r="97" spans="8:17" ht="18.75" x14ac:dyDescent="0.3">
      <c r="H97" s="82"/>
      <c r="Q97" s="82"/>
    </row>
    <row r="98" spans="8:17" ht="18.75" x14ac:dyDescent="0.3">
      <c r="H98" s="82"/>
      <c r="Q98" s="82"/>
    </row>
    <row r="99" spans="8:17" ht="18.75" x14ac:dyDescent="0.3">
      <c r="H99" s="82"/>
      <c r="Q99" s="82"/>
    </row>
    <row r="100" spans="8:17" ht="18.75" x14ac:dyDescent="0.3">
      <c r="H100" s="82"/>
      <c r="Q100" s="82"/>
    </row>
    <row r="101" spans="8:17" ht="18.75" x14ac:dyDescent="0.3">
      <c r="H101" s="82"/>
      <c r="Q101" s="82"/>
    </row>
    <row r="121" spans="8:17" ht="18.75" x14ac:dyDescent="0.3">
      <c r="H121" s="82"/>
      <c r="Q121" s="82"/>
    </row>
    <row r="124" spans="8:17" ht="18.75" x14ac:dyDescent="0.3">
      <c r="H124" s="82"/>
      <c r="Q124" s="82"/>
    </row>
    <row r="126" spans="8:17" ht="18.75" x14ac:dyDescent="0.3">
      <c r="H126" s="82"/>
      <c r="Q126" s="82"/>
    </row>
    <row r="128" spans="8:17" ht="18.75" x14ac:dyDescent="0.3">
      <c r="H128" s="82"/>
      <c r="Q128" s="82"/>
    </row>
    <row r="130" spans="8:17" ht="18.75" x14ac:dyDescent="0.3">
      <c r="H130" s="82"/>
      <c r="Q130" s="82"/>
    </row>
    <row r="132" spans="8:17" ht="18.75" x14ac:dyDescent="0.3">
      <c r="H132" s="82"/>
      <c r="Q132" s="82"/>
    </row>
    <row r="134" spans="8:17" ht="18.75" x14ac:dyDescent="0.3">
      <c r="H134" s="82"/>
      <c r="Q134" s="82"/>
    </row>
    <row r="136" spans="8:17" ht="18.75" x14ac:dyDescent="0.3">
      <c r="H136" s="82"/>
      <c r="Q136" s="82"/>
    </row>
    <row r="138" spans="8:17" ht="18.75" x14ac:dyDescent="0.3">
      <c r="H138" s="82"/>
      <c r="Q138" s="82"/>
    </row>
    <row r="140" spans="8:17" ht="18.75" x14ac:dyDescent="0.3">
      <c r="H140" s="82"/>
      <c r="Q140" s="82"/>
    </row>
    <row r="141" spans="8:17" ht="18.75" x14ac:dyDescent="0.3">
      <c r="Q141" s="82"/>
    </row>
    <row r="142" spans="8:17" ht="18.75" x14ac:dyDescent="0.3">
      <c r="H142" s="82"/>
      <c r="Q142" s="82"/>
    </row>
    <row r="143" spans="8:17" ht="18.75" x14ac:dyDescent="0.3">
      <c r="H143" s="82"/>
      <c r="Q143" s="82"/>
    </row>
    <row r="144" spans="8:17" ht="18.75" x14ac:dyDescent="0.3">
      <c r="H144" s="82"/>
      <c r="Q144" s="82"/>
    </row>
    <row r="145" spans="8:17" ht="18.75" x14ac:dyDescent="0.3">
      <c r="H145" s="82"/>
      <c r="Q145" s="82"/>
    </row>
    <row r="146" spans="8:17" ht="18.75" x14ac:dyDescent="0.3">
      <c r="H146" s="82"/>
      <c r="Q146" s="82"/>
    </row>
    <row r="169" spans="8:17" ht="18.75" x14ac:dyDescent="0.3">
      <c r="H169" s="82"/>
      <c r="Q169" s="82"/>
    </row>
    <row r="172" spans="8:17" ht="18.75" x14ac:dyDescent="0.3">
      <c r="H172" s="82"/>
      <c r="Q172" s="82"/>
    </row>
    <row r="174" spans="8:17" ht="18.75" x14ac:dyDescent="0.3">
      <c r="H174" s="82"/>
      <c r="Q174" s="82"/>
    </row>
    <row r="176" spans="8:17" ht="18.75" x14ac:dyDescent="0.3">
      <c r="H176" s="82"/>
      <c r="Q176" s="82"/>
    </row>
    <row r="178" spans="8:17" ht="18.75" x14ac:dyDescent="0.3">
      <c r="H178" s="82"/>
      <c r="Q178" s="82"/>
    </row>
    <row r="180" spans="8:17" ht="18.75" x14ac:dyDescent="0.3">
      <c r="H180" s="82"/>
      <c r="Q180" s="82"/>
    </row>
    <row r="182" spans="8:17" ht="18.75" x14ac:dyDescent="0.3">
      <c r="H182" s="82"/>
      <c r="Q182" s="82"/>
    </row>
    <row r="184" spans="8:17" ht="18.75" x14ac:dyDescent="0.3">
      <c r="H184" s="82"/>
      <c r="Q184" s="82"/>
    </row>
    <row r="186" spans="8:17" ht="18.75" x14ac:dyDescent="0.3">
      <c r="H186" s="82"/>
      <c r="Q186" s="82"/>
    </row>
    <row r="188" spans="8:17" ht="18.75" x14ac:dyDescent="0.3">
      <c r="H188" s="82"/>
      <c r="Q188" s="82"/>
    </row>
    <row r="190" spans="8:17" ht="18.75" x14ac:dyDescent="0.3">
      <c r="H190" s="82"/>
      <c r="Q190" s="82"/>
    </row>
    <row r="192" spans="8:17" ht="18.75" x14ac:dyDescent="0.3">
      <c r="H192" s="82"/>
      <c r="Q192" s="82"/>
    </row>
    <row r="194" spans="8:17" ht="18.75" x14ac:dyDescent="0.3">
      <c r="H194" s="82"/>
      <c r="Q194" s="82"/>
    </row>
    <row r="217" spans="8:17" ht="18.75" x14ac:dyDescent="0.3">
      <c r="H217" s="82"/>
      <c r="Q217" s="82"/>
    </row>
    <row r="219" spans="8:17" ht="18.75" x14ac:dyDescent="0.3">
      <c r="H219" s="82"/>
      <c r="Q219" s="82"/>
    </row>
    <row r="220" spans="8:17" ht="18.75" x14ac:dyDescent="0.3">
      <c r="H220" s="82"/>
      <c r="Q220" s="82"/>
    </row>
    <row r="221" spans="8:17" ht="18.75" x14ac:dyDescent="0.3">
      <c r="H221" s="82"/>
      <c r="Q221" s="82"/>
    </row>
    <row r="222" spans="8:17" ht="18.75" x14ac:dyDescent="0.3">
      <c r="H222" s="82"/>
      <c r="Q222" s="82"/>
    </row>
    <row r="223" spans="8:17" ht="18.75" x14ac:dyDescent="0.3">
      <c r="H223" s="82"/>
      <c r="Q223" s="82"/>
    </row>
    <row r="224" spans="8:17" ht="18.75" x14ac:dyDescent="0.3">
      <c r="H224" s="82"/>
      <c r="Q224" s="82"/>
    </row>
    <row r="225" spans="8:17" ht="18.75" x14ac:dyDescent="0.3">
      <c r="H225" s="82"/>
      <c r="Q225" s="82"/>
    </row>
    <row r="226" spans="8:17" ht="18.75" x14ac:dyDescent="0.3">
      <c r="H226" s="82"/>
      <c r="Q226" s="82"/>
    </row>
    <row r="227" spans="8:17" ht="18.75" x14ac:dyDescent="0.3">
      <c r="H227" s="82"/>
      <c r="Q227" s="82"/>
    </row>
    <row r="228" spans="8:17" ht="18.75" x14ac:dyDescent="0.3">
      <c r="H228" s="82"/>
      <c r="Q228" s="82"/>
    </row>
    <row r="229" spans="8:17" ht="18.75" x14ac:dyDescent="0.3">
      <c r="H229" s="82"/>
      <c r="Q229" s="82"/>
    </row>
    <row r="230" spans="8:17" ht="18.75" x14ac:dyDescent="0.3">
      <c r="H230" s="82"/>
      <c r="Q230" s="82"/>
    </row>
    <row r="231" spans="8:17" ht="18.75" x14ac:dyDescent="0.3">
      <c r="H231" s="82"/>
      <c r="Q231" s="82"/>
    </row>
    <row r="232" spans="8:17" ht="18.75" x14ac:dyDescent="0.3">
      <c r="H232" s="82"/>
      <c r="Q232" s="82"/>
    </row>
    <row r="233" spans="8:17" ht="18.75" x14ac:dyDescent="0.3">
      <c r="H233" s="82"/>
      <c r="Q233" s="82"/>
    </row>
    <row r="234" spans="8:17" ht="18.75" x14ac:dyDescent="0.3">
      <c r="H234" s="82"/>
      <c r="Q234" s="82"/>
    </row>
    <row r="235" spans="8:17" ht="18.75" x14ac:dyDescent="0.3">
      <c r="H235" s="82"/>
      <c r="Q235" s="82"/>
    </row>
    <row r="236" spans="8:17" ht="18.75" x14ac:dyDescent="0.3">
      <c r="H236" s="82"/>
      <c r="Q236" s="82"/>
    </row>
    <row r="237" spans="8:17" ht="18.75" x14ac:dyDescent="0.3">
      <c r="H237" s="82"/>
      <c r="Q237" s="82"/>
    </row>
    <row r="238" spans="8:17" ht="18.75" x14ac:dyDescent="0.3">
      <c r="H238" s="82"/>
      <c r="Q238" s="82"/>
    </row>
    <row r="239" spans="8:17" ht="18.75" x14ac:dyDescent="0.3">
      <c r="H239" s="82"/>
      <c r="Q239" s="82"/>
    </row>
    <row r="240" spans="8:17" ht="18.75" x14ac:dyDescent="0.3">
      <c r="H240" s="82"/>
      <c r="Q240" s="82"/>
    </row>
    <row r="241" spans="8:17" ht="18.75" x14ac:dyDescent="0.3">
      <c r="H241" s="82"/>
      <c r="Q241" s="82"/>
    </row>
    <row r="242" spans="8:17" ht="18.75" x14ac:dyDescent="0.3">
      <c r="H242" s="82"/>
      <c r="Q242" s="82"/>
    </row>
    <row r="265" spans="8:17" ht="18.75" x14ac:dyDescent="0.3">
      <c r="H265" s="82"/>
      <c r="Q265" s="82"/>
    </row>
    <row r="268" spans="8:17" ht="18.75" x14ac:dyDescent="0.3">
      <c r="H268" s="82"/>
      <c r="Q268" s="82"/>
    </row>
    <row r="270" spans="8:17" ht="18.75" x14ac:dyDescent="0.3">
      <c r="H270" s="82"/>
      <c r="Q270" s="82"/>
    </row>
    <row r="271" spans="8:17" ht="18.75" x14ac:dyDescent="0.3">
      <c r="H271" s="82"/>
    </row>
    <row r="272" spans="8:17" ht="18.75" x14ac:dyDescent="0.3">
      <c r="H272" s="82"/>
      <c r="Q272" s="82"/>
    </row>
    <row r="274" spans="8:17" ht="18.75" x14ac:dyDescent="0.3">
      <c r="H274" s="82"/>
      <c r="Q274" s="82"/>
    </row>
    <row r="276" spans="8:17" ht="18.75" x14ac:dyDescent="0.3">
      <c r="H276" s="82"/>
      <c r="Q276" s="82"/>
    </row>
    <row r="278" spans="8:17" ht="18.75" x14ac:dyDescent="0.3">
      <c r="H278" s="82"/>
      <c r="Q278" s="82"/>
    </row>
    <row r="280" spans="8:17" ht="18.75" x14ac:dyDescent="0.3">
      <c r="H280" s="82"/>
      <c r="Q280" s="82"/>
    </row>
    <row r="282" spans="8:17" ht="18.75" x14ac:dyDescent="0.3">
      <c r="H282" s="82"/>
      <c r="Q282" s="82"/>
    </row>
    <row r="284" spans="8:17" ht="18.75" x14ac:dyDescent="0.3">
      <c r="H284" s="82"/>
      <c r="Q284" s="82"/>
    </row>
    <row r="285" spans="8:17" ht="18.75" x14ac:dyDescent="0.3">
      <c r="H285" s="82"/>
      <c r="Q285" s="82"/>
    </row>
    <row r="286" spans="8:17" ht="18.75" x14ac:dyDescent="0.3">
      <c r="H286" s="82"/>
      <c r="Q286" s="82"/>
    </row>
    <row r="287" spans="8:17" ht="18.75" x14ac:dyDescent="0.3">
      <c r="H287" s="82"/>
      <c r="Q287" s="82"/>
    </row>
    <row r="288" spans="8:17" ht="18.75" x14ac:dyDescent="0.3">
      <c r="H288" s="82"/>
      <c r="Q288" s="82"/>
    </row>
    <row r="289" spans="8:17" ht="18.75" x14ac:dyDescent="0.3">
      <c r="H289" s="82"/>
      <c r="Q289" s="82"/>
    </row>
    <row r="290" spans="8:17" ht="18.75" x14ac:dyDescent="0.3">
      <c r="H290" s="82"/>
      <c r="Q290" s="82"/>
    </row>
    <row r="292" spans="8:17" ht="18.75" x14ac:dyDescent="0.3">
      <c r="H292" s="82"/>
    </row>
    <row r="311" spans="8:17" ht="18.75" x14ac:dyDescent="0.3">
      <c r="H311" s="82"/>
      <c r="Q311" s="82"/>
    </row>
    <row r="314" spans="8:17" ht="18.75" x14ac:dyDescent="0.3">
      <c r="H314" s="82"/>
      <c r="Q314" s="82"/>
    </row>
    <row r="316" spans="8:17" ht="18.75" x14ac:dyDescent="0.3">
      <c r="H316" s="82"/>
      <c r="Q316" s="82"/>
    </row>
    <row r="318" spans="8:17" ht="18.75" x14ac:dyDescent="0.3">
      <c r="H318" s="82"/>
      <c r="Q318" s="82"/>
    </row>
    <row r="320" spans="8:17" ht="18.75" x14ac:dyDescent="0.3">
      <c r="H320" s="82"/>
      <c r="Q320" s="82"/>
    </row>
    <row r="322" spans="8:17" ht="18.75" x14ac:dyDescent="0.3">
      <c r="H322" s="82"/>
      <c r="Q322" s="82"/>
    </row>
    <row r="324" spans="8:17" ht="18.75" x14ac:dyDescent="0.3">
      <c r="H324" s="82"/>
      <c r="Q324" s="82"/>
    </row>
    <row r="326" spans="8:17" ht="18.75" x14ac:dyDescent="0.3">
      <c r="H326" s="82"/>
      <c r="Q326" s="82"/>
    </row>
    <row r="328" spans="8:17" ht="18.75" x14ac:dyDescent="0.3">
      <c r="H328" s="82"/>
      <c r="Q328" s="82"/>
    </row>
    <row r="330" spans="8:17" ht="18.75" x14ac:dyDescent="0.3">
      <c r="H330" s="82"/>
      <c r="Q330" s="82"/>
    </row>
    <row r="332" spans="8:17" ht="18.75" x14ac:dyDescent="0.3">
      <c r="H332" s="82"/>
      <c r="Q332" s="82"/>
    </row>
    <row r="334" spans="8:17" ht="18.75" x14ac:dyDescent="0.3">
      <c r="H334" s="82"/>
      <c r="Q334" s="82"/>
    </row>
    <row r="336" spans="8:17" ht="18.75" x14ac:dyDescent="0.3">
      <c r="H336" s="82"/>
      <c r="Q336" s="82"/>
    </row>
    <row r="362" spans="8:17" ht="18.75" x14ac:dyDescent="0.3">
      <c r="Q362" s="82"/>
    </row>
    <row r="364" spans="8:17" ht="18.75" x14ac:dyDescent="0.3">
      <c r="H364" s="82"/>
      <c r="Q364" s="82"/>
    </row>
    <row r="366" spans="8:17" ht="18.75" x14ac:dyDescent="0.3">
      <c r="H366" s="82"/>
    </row>
    <row r="368" spans="8:17" ht="18.75" x14ac:dyDescent="0.3">
      <c r="H368" s="82"/>
      <c r="Q368" s="82"/>
    </row>
    <row r="396" spans="8:17" ht="18.75" x14ac:dyDescent="0.3">
      <c r="H396" s="82"/>
    </row>
    <row r="398" spans="8:17" ht="18.75" x14ac:dyDescent="0.3">
      <c r="Q398" s="82"/>
    </row>
    <row r="399" spans="8:17" ht="18.75" x14ac:dyDescent="0.3">
      <c r="Q399" s="82"/>
    </row>
    <row r="400" spans="8:17" ht="18.75" x14ac:dyDescent="0.3">
      <c r="Q400" s="82"/>
    </row>
    <row r="401" spans="8:17" ht="18.75" x14ac:dyDescent="0.3">
      <c r="Q401" s="82"/>
    </row>
    <row r="402" spans="8:17" ht="18.75" x14ac:dyDescent="0.3">
      <c r="H402" s="82"/>
      <c r="Q402" s="82"/>
    </row>
    <row r="404" spans="8:17" ht="18.75" x14ac:dyDescent="0.3">
      <c r="H404" s="82"/>
      <c r="Q404" s="82"/>
    </row>
    <row r="407" spans="8:17" ht="18.75" x14ac:dyDescent="0.3">
      <c r="Q407" s="82"/>
    </row>
    <row r="431" spans="8:17" ht="18.75" x14ac:dyDescent="0.3">
      <c r="Q431" s="82"/>
    </row>
    <row r="432" spans="8:17" ht="18.75" x14ac:dyDescent="0.3">
      <c r="H432" s="82"/>
      <c r="Q432" s="82"/>
    </row>
    <row r="433" spans="8:17" ht="18.75" x14ac:dyDescent="0.3">
      <c r="H433" s="82"/>
      <c r="Q433" s="82"/>
    </row>
    <row r="434" spans="8:17" ht="18.75" x14ac:dyDescent="0.3">
      <c r="H434" s="82"/>
      <c r="Q434" s="82"/>
    </row>
    <row r="435" spans="8:17" ht="18.75" x14ac:dyDescent="0.3">
      <c r="H435" s="82"/>
      <c r="Q435" s="82"/>
    </row>
    <row r="436" spans="8:17" ht="18.75" x14ac:dyDescent="0.3">
      <c r="H436" s="82"/>
      <c r="Q436" s="82"/>
    </row>
    <row r="437" spans="8:17" ht="18.75" x14ac:dyDescent="0.3">
      <c r="H437" s="82"/>
      <c r="Q437" s="82"/>
    </row>
    <row r="439" spans="8:17" ht="18.75" x14ac:dyDescent="0.3">
      <c r="H439" s="82"/>
      <c r="Q439" s="82"/>
    </row>
    <row r="493" spans="13:13" ht="18.75" x14ac:dyDescent="0.3">
      <c r="M493" s="84"/>
    </row>
    <row r="494" spans="13:13" ht="18.75" x14ac:dyDescent="0.3">
      <c r="M494" s="1" t="s">
        <v>36</v>
      </c>
    </row>
  </sheetData>
  <mergeCells count="64"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" right="0.7" top="0.75" bottom="0.5" header="0.3" footer="0.3"/>
  <pageSetup scale="66" firstPageNumber="76" orientation="landscape" useFirstPageNumber="1" r:id="rId1"/>
  <rowBreaks count="3" manualBreakCount="3">
    <brk id="19" max="16383" man="1"/>
    <brk id="38" max="16383" man="1"/>
    <brk id="5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2025-06-26T11:31:48Z</cp:lastPrinted>
  <dcterms:created xsi:type="dcterms:W3CDTF">2025-06-26T10:53:23Z</dcterms:created>
  <dcterms:modified xsi:type="dcterms:W3CDTF">2026-08-13T07:29:40Z</dcterms:modified>
</cp:coreProperties>
</file>
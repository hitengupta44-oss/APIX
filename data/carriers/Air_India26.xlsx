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July 2026\Excel July 2026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</workbook>
</file>

<file path=xl/calcChain.xml><?xml version="1.0" encoding="utf-8"?>
<calcChain xmlns="http://schemas.openxmlformats.org/spreadsheetml/2006/main">
  <c r="P73" i="1" l="1"/>
  <c r="O73" i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  <c r="Q73" i="1" l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<sst xmlns="http://schemas.openxmlformats.org/spreadsheetml/2006/main" count="157" uniqueCount="44">
  <si>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</si>
  <si>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</si>
  <si>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</si>
  <si>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</si>
  <si>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</si>
  <si>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</si>
  <si>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</si>
  <si>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</si>
  <si>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</si>
  <si>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</si>
  <si>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</si>
  <si>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</si>
  <si>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</si>
  <si>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</si>
  <si>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</si>
  <si>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</si>
  <si>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</si>
  <si>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</si>
  <si>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</si>
  <si>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</si>
  <si>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</si>
  <si>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</si>
  <si>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</si>
  <si>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</si>
  <si>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</si>
  <si>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</si>
  <si>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</si>
  <si>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</si>
  <si>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</si>
  <si>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</si>
  <si>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</si>
  <si>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</si>
  <si>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</si>
  <si>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</si>
  <si>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</si>
  <si>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</si>
  <si>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</si>
  <si>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</si>
  <si>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</si>
  <si>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</si>
  <si>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</si>
  <si>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AIR INDIA</t>
  </si>
  <si>
    <t>2026</t>
  </si>
  <si>
    <t>SOURCE:- ICAO ATR FORM A FURNISHED BY AIR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</si>
</sst>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61" transitionEvaluation="1" transitionEntry="1"/>
  <dimension ref="A1:Q494"/>
  <sheetViews>
    <sheetView showGridLines="0" tabSelected="1" view="pageBreakPreview" topLeftCell="A61" zoomScale="85" zoomScaleNormal="85" zoomScaleSheetLayoutView="85" workbookViewId="0">
      <selection activeCell="C10" sqref="C10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28" t="s">
        <v>42</v>
      </c>
      <c r="B1" s="129"/>
      <c r="C1" s="130" t="s">
        <v>0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 t="s">
        <v>41</v>
      </c>
      <c r="P1" s="131"/>
      <c r="Q1" s="132"/>
    </row>
    <row r="2" spans="1:17" ht="49.5" customHeight="1" x14ac:dyDescent="0.25">
      <c r="A2" s="133" t="s">
        <v>1</v>
      </c>
      <c r="B2" s="135" t="s">
        <v>2</v>
      </c>
      <c r="C2" s="135"/>
      <c r="D2" s="135"/>
      <c r="E2" s="136" t="s">
        <v>3</v>
      </c>
      <c r="F2" s="136" t="s">
        <v>4</v>
      </c>
      <c r="G2" s="136" t="s">
        <v>5</v>
      </c>
      <c r="H2" s="136" t="s">
        <v>37</v>
      </c>
      <c r="I2" s="135" t="s">
        <v>6</v>
      </c>
      <c r="J2" s="135"/>
      <c r="K2" s="135"/>
      <c r="L2" s="135" t="s">
        <v>7</v>
      </c>
      <c r="M2" s="135"/>
      <c r="N2" s="135"/>
      <c r="O2" s="135"/>
      <c r="P2" s="136" t="s">
        <v>8</v>
      </c>
      <c r="Q2" s="136" t="s">
        <v>38</v>
      </c>
    </row>
    <row r="3" spans="1:17" ht="155.25" customHeight="1" x14ac:dyDescent="0.25">
      <c r="A3" s="134"/>
      <c r="B3" s="42" t="s">
        <v>9</v>
      </c>
      <c r="C3" s="42" t="s">
        <v>10</v>
      </c>
      <c r="D3" s="42" t="s">
        <v>11</v>
      </c>
      <c r="E3" s="136"/>
      <c r="F3" s="136"/>
      <c r="G3" s="136"/>
      <c r="H3" s="136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36"/>
      <c r="Q3" s="136"/>
    </row>
    <row r="4" spans="1:17" ht="23.1" customHeight="1" x14ac:dyDescent="0.25">
      <c r="A4" s="20" t="s">
        <v>19</v>
      </c>
      <c r="B4" s="21">
        <v>15435</v>
      </c>
      <c r="C4" s="21">
        <v>32663.449999999899</v>
      </c>
      <c r="D4" s="22">
        <v>16604.5</v>
      </c>
      <c r="E4" s="23">
        <v>2297474</v>
      </c>
      <c r="F4" s="21">
        <v>2427786.7680000002</v>
      </c>
      <c r="G4" s="21">
        <v>2804433.74</v>
      </c>
      <c r="H4" s="25">
        <v>86.57</v>
      </c>
      <c r="I4" s="26">
        <v>28046.5332696</v>
      </c>
      <c r="J4" s="27">
        <v>702.43145900000002</v>
      </c>
      <c r="K4" s="25">
        <v>28748.9647286</v>
      </c>
      <c r="L4" s="26">
        <v>218449.53863699999</v>
      </c>
      <c r="M4" s="27">
        <v>36099.417852000101</v>
      </c>
      <c r="N4" s="27">
        <v>737.89851298999895</v>
      </c>
      <c r="O4" s="25">
        <v>255286.85500199001</v>
      </c>
      <c r="P4" s="27">
        <v>283950.48788099998</v>
      </c>
      <c r="Q4" s="25">
        <v>89.91</v>
      </c>
    </row>
    <row r="5" spans="1:17" ht="23.1" customHeight="1" x14ac:dyDescent="0.25">
      <c r="A5" s="43" t="s">
        <v>20</v>
      </c>
      <c r="B5" s="64">
        <v>14477</v>
      </c>
      <c r="C5" s="64">
        <v>30441.030000000101</v>
      </c>
      <c r="D5" s="53">
        <v>15581.846</v>
      </c>
      <c r="E5" s="75">
        <v>2188779</v>
      </c>
      <c r="F5" s="64">
        <v>2321263.2259999998</v>
      </c>
      <c r="G5" s="64">
        <v>2626892.4049999998</v>
      </c>
      <c r="H5" s="84">
        <v>88.37</v>
      </c>
      <c r="I5" s="93">
        <v>33485.190995099998</v>
      </c>
      <c r="J5" s="102">
        <v>966.37648909999996</v>
      </c>
      <c r="K5" s="84">
        <v>34451.567484200001</v>
      </c>
      <c r="L5" s="93">
        <v>206942.170279999</v>
      </c>
      <c r="M5" s="102">
        <v>43718.646769999898</v>
      </c>
      <c r="N5" s="102">
        <v>1000.6319860968</v>
      </c>
      <c r="O5" s="84">
        <v>251661.44903609599</v>
      </c>
      <c r="P5" s="102">
        <v>274499.88553999999</v>
      </c>
      <c r="Q5" s="84">
        <v>91.68</v>
      </c>
    </row>
    <row r="6" spans="1:17" ht="23.1" customHeight="1" x14ac:dyDescent="0.25">
      <c r="A6" s="45" t="s">
        <v>21</v>
      </c>
      <c r="B6" s="29">
        <v>15759</v>
      </c>
      <c r="C6" s="29">
        <v>32658.22</v>
      </c>
      <c r="D6" s="28">
        <v>16826.420999999998</v>
      </c>
      <c r="E6" s="30">
        <v>2168434</v>
      </c>
      <c r="F6" s="29">
        <v>2302689.77</v>
      </c>
      <c r="G6" s="29">
        <v>2822560.0320000001</v>
      </c>
      <c r="H6" s="31">
        <v>81.58</v>
      </c>
      <c r="I6" s="32">
        <v>36734.939071599998</v>
      </c>
      <c r="J6" s="33">
        <v>884.57254999999998</v>
      </c>
      <c r="K6" s="31">
        <v>37619.511621600002</v>
      </c>
      <c r="L6" s="32">
        <v>205952.56064099999</v>
      </c>
      <c r="M6" s="33">
        <v>48575.740919999997</v>
      </c>
      <c r="N6" s="33">
        <v>887.48423283399904</v>
      </c>
      <c r="O6" s="31">
        <v>255415.78579383399</v>
      </c>
      <c r="P6" s="33">
        <v>295078.64688599901</v>
      </c>
      <c r="Q6" s="31">
        <v>86.56</v>
      </c>
    </row>
    <row r="7" spans="1:17" ht="23.1" customHeight="1" x14ac:dyDescent="0.25">
      <c r="A7" s="43" t="s">
        <v>22</v>
      </c>
      <c r="B7" s="64">
        <v>15082</v>
      </c>
      <c r="C7" s="64">
        <v>31209.5799999999</v>
      </c>
      <c r="D7" s="53">
        <v>16082.114</v>
      </c>
      <c r="E7" s="75">
        <v>1949625</v>
      </c>
      <c r="F7" s="64">
        <v>2067622.6329999999</v>
      </c>
      <c r="G7" s="64">
        <v>2692521.4909999999</v>
      </c>
      <c r="H7" s="84">
        <v>76.790000000000006</v>
      </c>
      <c r="I7" s="93">
        <v>17766.239731500002</v>
      </c>
      <c r="J7" s="102">
        <v>988.75666799999999</v>
      </c>
      <c r="K7" s="84">
        <v>18754.9963995</v>
      </c>
      <c r="L7" s="93">
        <v>184229.15777000101</v>
      </c>
      <c r="M7" s="102">
        <v>22332.704660000101</v>
      </c>
      <c r="N7" s="102">
        <v>1056.3462871419999</v>
      </c>
      <c r="O7" s="84">
        <v>207618.20871714299</v>
      </c>
      <c r="P7" s="102">
        <v>255303.97141099899</v>
      </c>
      <c r="Q7" s="84">
        <v>81.319999999999993</v>
      </c>
    </row>
    <row r="8" spans="1:17" ht="30" customHeight="1" x14ac:dyDescent="0.25">
      <c r="A8" s="45" t="s">
        <v>23</v>
      </c>
      <c r="B8" s="29">
        <v>15510</v>
      </c>
      <c r="C8" s="29">
        <v>32343.79</v>
      </c>
      <c r="D8" s="28">
        <v>16385.437000000002</v>
      </c>
      <c r="E8" s="30">
        <v>2144363</v>
      </c>
      <c r="F8" s="29">
        <v>2254574.4980000001</v>
      </c>
      <c r="G8" s="29">
        <v>2777049.926</v>
      </c>
      <c r="H8" s="31">
        <v>81.19</v>
      </c>
      <c r="I8" s="32">
        <v>18967.529457799999</v>
      </c>
      <c r="J8" s="33">
        <v>1205.0279499999999</v>
      </c>
      <c r="K8" s="31">
        <v>20172.557407799999</v>
      </c>
      <c r="L8" s="32">
        <v>201411.15546000001</v>
      </c>
      <c r="M8" s="33">
        <v>23939.603080000001</v>
      </c>
      <c r="N8" s="33">
        <v>1296.3132938834001</v>
      </c>
      <c r="O8" s="31">
        <v>226647.071833883</v>
      </c>
      <c r="P8" s="33">
        <v>266103.83263000002</v>
      </c>
      <c r="Q8" s="31">
        <v>85.17</v>
      </c>
    </row>
    <row r="9" spans="1:17" ht="23.1" customHeight="1" x14ac:dyDescent="0.25">
      <c r="A9" s="43" t="s">
        <v>39</v>
      </c>
      <c r="B9" s="64">
        <v>11427</v>
      </c>
      <c r="C9" s="64">
        <v>23306.39</v>
      </c>
      <c r="D9" s="53">
        <v>12176.800999999999</v>
      </c>
      <c r="E9" s="75">
        <v>1644981</v>
      </c>
      <c r="F9" s="64">
        <v>1751751.155</v>
      </c>
      <c r="G9" s="64">
        <v>2089845.7509999999</v>
      </c>
      <c r="H9" s="84">
        <v>83.82</v>
      </c>
      <c r="I9" s="93">
        <v>16787.700723000002</v>
      </c>
      <c r="J9" s="102">
        <v>931.86644999999999</v>
      </c>
      <c r="K9" s="84">
        <v>17719.567172999999</v>
      </c>
      <c r="L9" s="93">
        <v>157246.11126999999</v>
      </c>
      <c r="M9" s="102">
        <v>20996.225450000002</v>
      </c>
      <c r="N9" s="102">
        <v>1036.7549409999999</v>
      </c>
      <c r="O9" s="84">
        <v>179279.09166100001</v>
      </c>
      <c r="P9" s="102">
        <v>204613.70757</v>
      </c>
      <c r="Q9" s="84">
        <v>87.62</v>
      </c>
    </row>
    <row r="10" spans="1:17" ht="23.1" customHeight="1" x14ac:dyDescent="0.25">
      <c r="A10" s="45" t="s">
        <v>24</v>
      </c>
      <c r="B10" s="29">
        <v>11476</v>
      </c>
      <c r="C10" s="29">
        <v>23277.970000000201</v>
      </c>
      <c r="D10" s="28">
        <v>12158.647000000001</v>
      </c>
      <c r="E10" s="30">
        <v>1572677</v>
      </c>
      <c r="F10" s="29">
        <v>1692152.216</v>
      </c>
      <c r="G10" s="29">
        <v>2083251.3770000001</v>
      </c>
      <c r="H10" s="31">
        <v>81.23</v>
      </c>
      <c r="I10" s="32">
        <v>17879.975591499999</v>
      </c>
      <c r="J10" s="33">
        <v>897.39884099999995</v>
      </c>
      <c r="K10" s="31">
        <v>18777.374432500001</v>
      </c>
      <c r="L10" s="32">
        <v>151775.448164</v>
      </c>
      <c r="M10" s="33">
        <v>22637.115909999899</v>
      </c>
      <c r="N10" s="33">
        <v>935.06223025600002</v>
      </c>
      <c r="O10" s="31">
        <v>175347.626304256</v>
      </c>
      <c r="P10" s="33">
        <v>204918.29259600001</v>
      </c>
      <c r="Q10" s="31">
        <v>85.57</v>
      </c>
    </row>
    <row r="11" spans="1:17" ht="23.1" customHeight="1" x14ac:dyDescent="0.25">
      <c r="A11" s="43" t="s">
        <v>25</v>
      </c>
      <c r="B11" s="64"/>
      <c r="C11" s="64"/>
      <c r="D11" s="53"/>
      <c r="E11" s="75"/>
      <c r="F11" s="64"/>
      <c r="G11" s="64"/>
      <c r="H11" s="84"/>
      <c r="I11" s="93"/>
      <c r="J11" s="102"/>
      <c r="K11" s="84"/>
      <c r="L11" s="93"/>
      <c r="M11" s="102"/>
      <c r="N11" s="102"/>
      <c r="O11" s="84"/>
      <c r="P11" s="102"/>
      <c r="Q11" s="84"/>
    </row>
    <row r="12" spans="1:17" ht="23.1" customHeight="1" x14ac:dyDescent="0.25">
      <c r="A12" s="45" t="s">
        <v>26</v>
      </c>
      <c r="B12" s="29"/>
      <c r="C12" s="29"/>
      <c r="D12" s="28"/>
      <c r="E12" s="30"/>
      <c r="F12" s="29"/>
      <c r="G12" s="29"/>
      <c r="H12" s="31"/>
      <c r="I12" s="32"/>
      <c r="J12" s="33"/>
      <c r="K12" s="31"/>
      <c r="L12" s="32"/>
      <c r="M12" s="33"/>
      <c r="N12" s="33"/>
      <c r="O12" s="31"/>
      <c r="P12" s="33"/>
      <c r="Q12" s="31"/>
    </row>
    <row r="13" spans="1:17" ht="23.1" customHeight="1" x14ac:dyDescent="0.25">
      <c r="A13" s="43" t="s">
        <v>27</v>
      </c>
      <c r="B13" s="64"/>
      <c r="C13" s="64"/>
      <c r="D13" s="53"/>
      <c r="E13" s="75"/>
      <c r="F13" s="64"/>
      <c r="G13" s="64"/>
      <c r="H13" s="84"/>
      <c r="I13" s="93"/>
      <c r="J13" s="102"/>
      <c r="K13" s="84"/>
      <c r="L13" s="93"/>
      <c r="M13" s="102"/>
      <c r="N13" s="102"/>
      <c r="O13" s="84"/>
      <c r="P13" s="102"/>
      <c r="Q13" s="84"/>
    </row>
    <row r="14" spans="1:17" ht="23.1" customHeight="1" x14ac:dyDescent="0.25">
      <c r="A14" s="45" t="s">
        <v>28</v>
      </c>
      <c r="B14" s="29"/>
      <c r="C14" s="29"/>
      <c r="D14" s="28"/>
      <c r="E14" s="30"/>
      <c r="F14" s="29"/>
      <c r="G14" s="29"/>
      <c r="H14" s="31"/>
      <c r="I14" s="32"/>
      <c r="J14" s="33"/>
      <c r="K14" s="31"/>
      <c r="L14" s="32"/>
      <c r="M14" s="33"/>
      <c r="N14" s="33"/>
      <c r="O14" s="31"/>
      <c r="P14" s="33"/>
      <c r="Q14" s="31"/>
    </row>
    <row r="15" spans="1:17" ht="23.1" customHeight="1" x14ac:dyDescent="0.25">
      <c r="A15" s="121" t="s">
        <v>29</v>
      </c>
      <c r="B15" s="2"/>
      <c r="C15" s="2"/>
      <c r="D15" s="13"/>
      <c r="E15" s="24"/>
      <c r="F15" s="2"/>
      <c r="G15" s="2"/>
      <c r="H15" s="35"/>
      <c r="I15" s="44"/>
      <c r="J15" s="49"/>
      <c r="K15" s="35"/>
      <c r="L15" s="44"/>
      <c r="M15" s="49"/>
      <c r="N15" s="49"/>
      <c r="O15" s="35"/>
      <c r="P15" s="102"/>
      <c r="Q15" s="84"/>
    </row>
    <row r="16" spans="1:17" ht="23.1" customHeight="1" x14ac:dyDescent="0.25">
      <c r="A16" s="34" t="s">
        <v>30</v>
      </c>
      <c r="B16" s="36">
        <f t="shared" ref="B16:G16" si="0">IFERROR(SUM(B4:B15),"")</f>
        <v>99166</v>
      </c>
      <c r="C16" s="36">
        <f t="shared" si="0"/>
        <v>205900.43000000011</v>
      </c>
      <c r="D16" s="36">
        <f t="shared" si="0"/>
        <v>105815.766</v>
      </c>
      <c r="E16" s="36">
        <f t="shared" si="0"/>
        <v>13966333</v>
      </c>
      <c r="F16" s="36">
        <f t="shared" si="0"/>
        <v>14817840.265999999</v>
      </c>
      <c r="G16" s="36">
        <f t="shared" si="0"/>
        <v>17896554.721999999</v>
      </c>
      <c r="H16" s="37">
        <f>IFERROR(F16/G16*100,"")</f>
        <v>82.797166807668418</v>
      </c>
      <c r="I16" s="37">
        <f t="shared" ref="I16:P16" si="1">IFERROR(SUM(I4:I15),"")</f>
        <v>169668.1088401</v>
      </c>
      <c r="J16" s="37">
        <f t="shared" si="1"/>
        <v>6576.4304071000006</v>
      </c>
      <c r="K16" s="37">
        <f t="shared" si="1"/>
        <v>176244.53924720001</v>
      </c>
      <c r="L16" s="37">
        <f t="shared" si="1"/>
        <v>1326006.1422220001</v>
      </c>
      <c r="M16" s="37">
        <f t="shared" si="1"/>
        <v>218299.454642</v>
      </c>
      <c r="N16" s="37">
        <f t="shared" si="1"/>
        <v>6950.4914842021972</v>
      </c>
      <c r="O16" s="37">
        <f t="shared" si="1"/>
        <v>1551256.0883482019</v>
      </c>
      <c r="P16" s="38">
        <f t="shared" si="1"/>
        <v>1784468.8245139981</v>
      </c>
      <c r="Q16" s="38">
        <f>IFERROR(O16/P16*100,"")</f>
        <v>86.930971672799501</v>
      </c>
    </row>
    <row r="17" spans="1:17" ht="20.100000000000001" customHeight="1" x14ac:dyDescent="0.25">
      <c r="A17" s="137" t="s">
        <v>43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</row>
    <row r="18" spans="1:17" ht="15.75" x14ac:dyDescent="0.25">
      <c r="A18" s="127" t="s">
        <v>31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39" t="s">
        <v>42</v>
      </c>
      <c r="B20" s="140"/>
      <c r="C20" s="141" t="s">
        <v>33</v>
      </c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2" t="s">
        <v>41</v>
      </c>
      <c r="P20" s="142"/>
      <c r="Q20" s="143"/>
    </row>
    <row r="21" spans="1:17" ht="51" customHeight="1" x14ac:dyDescent="0.25">
      <c r="A21" s="144" t="s">
        <v>1</v>
      </c>
      <c r="B21" s="144" t="s">
        <v>2</v>
      </c>
      <c r="C21" s="144"/>
      <c r="D21" s="144"/>
      <c r="E21" s="145" t="s">
        <v>3</v>
      </c>
      <c r="F21" s="145" t="s">
        <v>4</v>
      </c>
      <c r="G21" s="145" t="s">
        <v>5</v>
      </c>
      <c r="H21" s="145" t="s">
        <v>37</v>
      </c>
      <c r="I21" s="144" t="s">
        <v>6</v>
      </c>
      <c r="J21" s="144"/>
      <c r="K21" s="144"/>
      <c r="L21" s="144" t="s">
        <v>7</v>
      </c>
      <c r="M21" s="144"/>
      <c r="N21" s="144"/>
      <c r="O21" s="144"/>
      <c r="P21" s="145" t="s">
        <v>8</v>
      </c>
      <c r="Q21" s="145" t="s">
        <v>38</v>
      </c>
    </row>
    <row r="22" spans="1:17" ht="150.75" customHeight="1" x14ac:dyDescent="0.25">
      <c r="A22" s="144"/>
      <c r="B22" s="19" t="s">
        <v>9</v>
      </c>
      <c r="C22" s="19" t="s">
        <v>10</v>
      </c>
      <c r="D22" s="19" t="s">
        <v>11</v>
      </c>
      <c r="E22" s="145"/>
      <c r="F22" s="145"/>
      <c r="G22" s="145"/>
      <c r="H22" s="145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46"/>
      <c r="Q22" s="146"/>
    </row>
    <row r="23" spans="1:17" ht="23.1" customHeight="1" x14ac:dyDescent="0.25">
      <c r="A23" s="15" t="s">
        <v>19</v>
      </c>
      <c r="B23" s="7">
        <v>4976</v>
      </c>
      <c r="C23" s="8">
        <v>33884.99</v>
      </c>
      <c r="D23" s="9">
        <v>23050.198</v>
      </c>
      <c r="E23" s="7">
        <v>920748</v>
      </c>
      <c r="F23" s="8">
        <v>4850136.7850000001</v>
      </c>
      <c r="G23" s="8">
        <v>5902119.9450000003</v>
      </c>
      <c r="H23" s="10">
        <v>82.18</v>
      </c>
      <c r="I23" s="11">
        <v>43886.4098734</v>
      </c>
      <c r="J23" s="11">
        <v>258.22199999999998</v>
      </c>
      <c r="K23" s="11">
        <v>44144.631873400001</v>
      </c>
      <c r="L23" s="12">
        <v>512149.44347999903</v>
      </c>
      <c r="M23" s="11">
        <v>260280.674784</v>
      </c>
      <c r="N23" s="11">
        <v>1750.7800159000001</v>
      </c>
      <c r="O23" s="14">
        <v>774180.89827989903</v>
      </c>
      <c r="P23" s="12">
        <v>854463.42456479999</v>
      </c>
      <c r="Q23" s="14">
        <v>90.6</v>
      </c>
    </row>
    <row r="24" spans="1:17" ht="23.1" customHeight="1" x14ac:dyDescent="0.25">
      <c r="A24" s="51" t="s">
        <v>20</v>
      </c>
      <c r="B24" s="51">
        <v>4483</v>
      </c>
      <c r="C24" s="50">
        <v>30460.289999999899</v>
      </c>
      <c r="D24" s="52">
        <v>20751.951000000001</v>
      </c>
      <c r="E24" s="51">
        <v>813328</v>
      </c>
      <c r="F24" s="50">
        <v>4265463.66</v>
      </c>
      <c r="G24" s="50">
        <v>5287627.8650000002</v>
      </c>
      <c r="H24" s="54">
        <v>80.67</v>
      </c>
      <c r="I24" s="55">
        <v>48056.282407699997</v>
      </c>
      <c r="J24" s="55">
        <v>250.07839999999999</v>
      </c>
      <c r="K24" s="55">
        <v>48306.360807700003</v>
      </c>
      <c r="L24" s="56">
        <v>447183.70973999897</v>
      </c>
      <c r="M24" s="55">
        <v>302619.48251</v>
      </c>
      <c r="N24" s="55">
        <v>1721.5880517999999</v>
      </c>
      <c r="O24" s="54">
        <v>751524.7803018</v>
      </c>
      <c r="P24" s="56">
        <v>829544.65400999901</v>
      </c>
      <c r="Q24" s="54">
        <v>90.59</v>
      </c>
    </row>
    <row r="25" spans="1:17" ht="23.1" customHeight="1" x14ac:dyDescent="0.25">
      <c r="A25" s="15" t="s">
        <v>21</v>
      </c>
      <c r="B25" s="15">
        <v>4154</v>
      </c>
      <c r="C25" s="6">
        <v>31693.19</v>
      </c>
      <c r="D25" s="16">
        <v>21013.506000000001</v>
      </c>
      <c r="E25" s="15">
        <v>778767</v>
      </c>
      <c r="F25" s="6">
        <v>4634339.5860000001</v>
      </c>
      <c r="G25" s="6">
        <v>5421117.7139999997</v>
      </c>
      <c r="H25" s="10">
        <v>85.49</v>
      </c>
      <c r="I25" s="17">
        <v>60176.457404399996</v>
      </c>
      <c r="J25" s="17">
        <v>245.62440000000001</v>
      </c>
      <c r="K25" s="17">
        <v>60422.081804399997</v>
      </c>
      <c r="L25" s="18">
        <v>489340.41685799998</v>
      </c>
      <c r="M25" s="17">
        <v>432401.10494000098</v>
      </c>
      <c r="N25" s="17">
        <v>2113.6386161</v>
      </c>
      <c r="O25" s="10">
        <v>923855.16041410004</v>
      </c>
      <c r="P25" s="18">
        <v>983145.61406999803</v>
      </c>
      <c r="Q25" s="10">
        <v>93.97</v>
      </c>
    </row>
    <row r="26" spans="1:17" ht="23.1" customHeight="1" x14ac:dyDescent="0.25">
      <c r="A26" s="51" t="s">
        <v>22</v>
      </c>
      <c r="B26" s="51">
        <v>3934</v>
      </c>
      <c r="C26" s="50">
        <v>30194.1700000001</v>
      </c>
      <c r="D26" s="52">
        <v>20040.978999999999</v>
      </c>
      <c r="E26" s="51">
        <v>663709</v>
      </c>
      <c r="F26" s="50">
        <v>3832220.514</v>
      </c>
      <c r="G26" s="50">
        <v>5195097.4970000004</v>
      </c>
      <c r="H26" s="54">
        <v>73.77</v>
      </c>
      <c r="I26" s="55">
        <v>17773.009242600001</v>
      </c>
      <c r="J26" s="55">
        <v>317.0496</v>
      </c>
      <c r="K26" s="55">
        <v>18090.058842599999</v>
      </c>
      <c r="L26" s="56">
        <v>400993.35476999998</v>
      </c>
      <c r="M26" s="55">
        <v>127204.18097</v>
      </c>
      <c r="N26" s="55">
        <v>2770.6855869999999</v>
      </c>
      <c r="O26" s="54">
        <v>530968.22132699995</v>
      </c>
      <c r="P26" s="56">
        <v>634501.93911000097</v>
      </c>
      <c r="Q26" s="54">
        <v>83.68</v>
      </c>
    </row>
    <row r="27" spans="1:17" ht="30" customHeight="1" x14ac:dyDescent="0.25">
      <c r="A27" s="15" t="s">
        <v>23</v>
      </c>
      <c r="B27" s="15">
        <v>3957</v>
      </c>
      <c r="C27" s="6">
        <v>28643.02</v>
      </c>
      <c r="D27" s="16">
        <v>19053.648000000001</v>
      </c>
      <c r="E27" s="15">
        <v>668908</v>
      </c>
      <c r="F27" s="6">
        <v>3577107.2379999999</v>
      </c>
      <c r="G27" s="6">
        <v>4875203.7340000002</v>
      </c>
      <c r="H27" s="10">
        <v>73.37</v>
      </c>
      <c r="I27" s="17">
        <v>18929.443009300001</v>
      </c>
      <c r="J27" s="17">
        <v>330.04930000000002</v>
      </c>
      <c r="K27" s="17">
        <v>19259.4923093</v>
      </c>
      <c r="L27" s="18">
        <v>371162.50348000001</v>
      </c>
      <c r="M27" s="17">
        <v>128832.71202000001</v>
      </c>
      <c r="N27" s="17">
        <v>2692.6930837999998</v>
      </c>
      <c r="O27" s="10">
        <v>502687.90858380002</v>
      </c>
      <c r="P27" s="18">
        <v>601012.94337999902</v>
      </c>
      <c r="Q27" s="10">
        <v>83.64</v>
      </c>
    </row>
    <row r="28" spans="1:17" ht="23.1" customHeight="1" x14ac:dyDescent="0.25">
      <c r="A28" s="51" t="s">
        <v>39</v>
      </c>
      <c r="B28" s="51">
        <v>3519</v>
      </c>
      <c r="C28" s="50">
        <v>24841.85</v>
      </c>
      <c r="D28" s="52">
        <v>16712.288</v>
      </c>
      <c r="E28" s="51">
        <v>595245</v>
      </c>
      <c r="F28" s="50">
        <v>3055234.2230000002</v>
      </c>
      <c r="G28" s="50">
        <v>4240633.801</v>
      </c>
      <c r="H28" s="54">
        <v>72.05</v>
      </c>
      <c r="I28" s="55">
        <v>17854.745714000001</v>
      </c>
      <c r="J28" s="55">
        <v>353.82150000000001</v>
      </c>
      <c r="K28" s="55">
        <v>18208.567213999999</v>
      </c>
      <c r="L28" s="56">
        <v>315495.06503</v>
      </c>
      <c r="M28" s="55">
        <v>117794.6195</v>
      </c>
      <c r="N28" s="55">
        <v>2956.773369</v>
      </c>
      <c r="O28" s="54">
        <v>436246.45789899997</v>
      </c>
      <c r="P28" s="56">
        <v>525750.85066999996</v>
      </c>
      <c r="Q28" s="54">
        <v>82.98</v>
      </c>
    </row>
    <row r="29" spans="1:17" ht="23.1" customHeight="1" x14ac:dyDescent="0.25">
      <c r="A29" s="15" t="s">
        <v>40</v>
      </c>
      <c r="B29" s="15">
        <v>3520</v>
      </c>
      <c r="C29" s="6">
        <v>25461.02</v>
      </c>
      <c r="D29" s="16">
        <v>17097.017</v>
      </c>
      <c r="E29" s="15">
        <v>610895</v>
      </c>
      <c r="F29" s="6">
        <v>3203012.0210000002</v>
      </c>
      <c r="G29" s="6">
        <v>4373707.6919999998</v>
      </c>
      <c r="H29" s="10">
        <v>73.23</v>
      </c>
      <c r="I29" s="17">
        <v>17359.121745100001</v>
      </c>
      <c r="J29" s="17">
        <v>372.97140000000002</v>
      </c>
      <c r="K29" s="17">
        <v>17732.0931451</v>
      </c>
      <c r="L29" s="18">
        <v>330436.83957399998</v>
      </c>
      <c r="M29" s="17">
        <v>114047.72037</v>
      </c>
      <c r="N29" s="17">
        <v>3193.0797957999898</v>
      </c>
      <c r="O29" s="10">
        <v>447677.63973980001</v>
      </c>
      <c r="P29" s="18">
        <v>535798.821560001</v>
      </c>
      <c r="Q29" s="10">
        <v>83.55</v>
      </c>
    </row>
    <row r="30" spans="1:17" ht="23.1" customHeight="1" x14ac:dyDescent="0.25">
      <c r="A30" s="51" t="s">
        <v>25</v>
      </c>
      <c r="B30" s="51"/>
      <c r="C30" s="50"/>
      <c r="D30" s="52"/>
      <c r="E30" s="51"/>
      <c r="F30" s="50"/>
      <c r="G30" s="50"/>
      <c r="H30" s="54"/>
      <c r="I30" s="55"/>
      <c r="J30" s="55"/>
      <c r="K30" s="55"/>
      <c r="L30" s="56"/>
      <c r="M30" s="55"/>
      <c r="N30" s="55"/>
      <c r="O30" s="54"/>
      <c r="P30" s="56"/>
      <c r="Q30" s="54"/>
    </row>
    <row r="31" spans="1:17" ht="23.1" customHeight="1" x14ac:dyDescent="0.25">
      <c r="A31" s="15" t="s">
        <v>26</v>
      </c>
      <c r="B31" s="15"/>
      <c r="C31" s="6"/>
      <c r="D31" s="16"/>
      <c r="E31" s="15"/>
      <c r="F31" s="6"/>
      <c r="G31" s="6"/>
      <c r="H31" s="10"/>
      <c r="I31" s="17"/>
      <c r="J31" s="17"/>
      <c r="K31" s="17"/>
      <c r="L31" s="18"/>
      <c r="M31" s="17"/>
      <c r="N31" s="17"/>
      <c r="O31" s="10"/>
      <c r="P31" s="18"/>
      <c r="Q31" s="10"/>
    </row>
    <row r="32" spans="1:17" ht="23.1" customHeight="1" x14ac:dyDescent="0.25">
      <c r="A32" s="51" t="s">
        <v>27</v>
      </c>
      <c r="B32" s="51"/>
      <c r="C32" s="50"/>
      <c r="D32" s="52"/>
      <c r="E32" s="51"/>
      <c r="F32" s="50"/>
      <c r="G32" s="50"/>
      <c r="H32" s="54"/>
      <c r="I32" s="55"/>
      <c r="J32" s="55"/>
      <c r="K32" s="55"/>
      <c r="L32" s="56"/>
      <c r="M32" s="55"/>
      <c r="N32" s="55"/>
      <c r="O32" s="54"/>
      <c r="P32" s="56"/>
      <c r="Q32" s="54"/>
    </row>
    <row r="33" spans="1:17" ht="23.1" customHeight="1" x14ac:dyDescent="0.25">
      <c r="A33" s="15" t="s">
        <v>28</v>
      </c>
      <c r="B33" s="15"/>
      <c r="C33" s="6"/>
      <c r="D33" s="16"/>
      <c r="E33" s="15"/>
      <c r="F33" s="6"/>
      <c r="G33" s="6"/>
      <c r="H33" s="10"/>
      <c r="I33" s="17"/>
      <c r="J33" s="17"/>
      <c r="K33" s="17"/>
      <c r="L33" s="18"/>
      <c r="M33" s="17"/>
      <c r="N33" s="17"/>
      <c r="O33" s="10"/>
      <c r="P33" s="18"/>
      <c r="Q33" s="10"/>
    </row>
    <row r="34" spans="1:17" ht="23.1" customHeight="1" x14ac:dyDescent="0.25">
      <c r="A34" s="51" t="s">
        <v>29</v>
      </c>
      <c r="B34" s="57"/>
      <c r="C34" s="58"/>
      <c r="D34" s="59"/>
      <c r="E34" s="57"/>
      <c r="F34" s="58"/>
      <c r="G34" s="58"/>
      <c r="H34" s="54"/>
      <c r="I34" s="60"/>
      <c r="J34" s="60"/>
      <c r="K34" s="60"/>
      <c r="L34" s="61"/>
      <c r="M34" s="60"/>
      <c r="N34" s="60"/>
      <c r="O34" s="62"/>
      <c r="P34" s="61"/>
      <c r="Q34" s="62"/>
    </row>
    <row r="35" spans="1:17" ht="23.1" customHeight="1" x14ac:dyDescent="0.25">
      <c r="A35" s="126" t="s">
        <v>30</v>
      </c>
      <c r="B35" s="3">
        <f t="shared" ref="B35:G35" si="2">IFERROR(SUM(B23:B34),"")</f>
        <v>28543</v>
      </c>
      <c r="C35" s="3">
        <f t="shared" si="2"/>
        <v>205178.53</v>
      </c>
      <c r="D35" s="3">
        <f t="shared" si="2"/>
        <v>137719.587</v>
      </c>
      <c r="E35" s="3">
        <f t="shared" si="2"/>
        <v>5051600</v>
      </c>
      <c r="F35" s="3">
        <f t="shared" si="2"/>
        <v>27417514.027000003</v>
      </c>
      <c r="G35" s="3">
        <f t="shared" si="2"/>
        <v>35295508.248000003</v>
      </c>
      <c r="H35" s="4">
        <f>IFERROR(F35/G35*100,"")</f>
        <v>77.679895793974282</v>
      </c>
      <c r="I35" s="5">
        <f t="shared" ref="I35:P35" si="3">IFERROR(SUM(I23:I34),"")</f>
        <v>224035.4693965</v>
      </c>
      <c r="J35" s="5">
        <f t="shared" si="3"/>
        <v>2127.8166000000001</v>
      </c>
      <c r="K35" s="5">
        <f t="shared" si="3"/>
        <v>226163.2859965</v>
      </c>
      <c r="L35" s="5">
        <f t="shared" si="3"/>
        <v>2866761.3329319982</v>
      </c>
      <c r="M35" s="5">
        <f t="shared" si="3"/>
        <v>1483180.4950940011</v>
      </c>
      <c r="N35" s="5">
        <f t="shared" si="3"/>
        <v>17199.238519399991</v>
      </c>
      <c r="O35" s="5">
        <f t="shared" si="3"/>
        <v>4367141.0665453989</v>
      </c>
      <c r="P35" s="5">
        <f t="shared" si="3"/>
        <v>4964218.2473647986</v>
      </c>
      <c r="Q35" s="5">
        <f>IFERROR(O35/P35*100,"")</f>
        <v>87.972382537041923</v>
      </c>
    </row>
    <row r="36" spans="1:17" ht="15.75" x14ac:dyDescent="0.25">
      <c r="A36" s="137" t="s">
        <v>43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</row>
    <row r="37" spans="1:17" ht="15.75" x14ac:dyDescent="0.25">
      <c r="A37" s="127" t="s">
        <v>31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47" t="s">
        <v>42</v>
      </c>
      <c r="B39" s="148"/>
      <c r="C39" s="149" t="s">
        <v>34</v>
      </c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50" t="s">
        <v>41</v>
      </c>
      <c r="P39" s="150"/>
      <c r="Q39" s="151"/>
    </row>
    <row r="40" spans="1:17" ht="39.75" customHeight="1" x14ac:dyDescent="0.25">
      <c r="A40" s="152" t="s">
        <v>1</v>
      </c>
      <c r="B40" s="152" t="s">
        <v>2</v>
      </c>
      <c r="C40" s="152"/>
      <c r="D40" s="152"/>
      <c r="E40" s="153" t="s">
        <v>3</v>
      </c>
      <c r="F40" s="153" t="s">
        <v>4</v>
      </c>
      <c r="G40" s="153" t="s">
        <v>5</v>
      </c>
      <c r="H40" s="153" t="s">
        <v>37</v>
      </c>
      <c r="I40" s="152" t="s">
        <v>6</v>
      </c>
      <c r="J40" s="152"/>
      <c r="K40" s="152"/>
      <c r="L40" s="152" t="s">
        <v>7</v>
      </c>
      <c r="M40" s="152"/>
      <c r="N40" s="152"/>
      <c r="O40" s="152"/>
      <c r="P40" s="153" t="s">
        <v>8</v>
      </c>
      <c r="Q40" s="153" t="s">
        <v>38</v>
      </c>
    </row>
    <row r="41" spans="1:17" ht="178.5" customHeight="1" x14ac:dyDescent="0.25">
      <c r="A41" s="152"/>
      <c r="B41" s="40" t="s">
        <v>9</v>
      </c>
      <c r="C41" s="40" t="s">
        <v>10</v>
      </c>
      <c r="D41" s="40" t="s">
        <v>11</v>
      </c>
      <c r="E41" s="154"/>
      <c r="F41" s="154"/>
      <c r="G41" s="154"/>
      <c r="H41" s="154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54"/>
      <c r="Q41" s="154"/>
    </row>
    <row r="42" spans="1:17" ht="25.5" customHeight="1" x14ac:dyDescent="0.25">
      <c r="A42" s="46" t="s">
        <v>19</v>
      </c>
      <c r="B42" s="103">
        <v>141</v>
      </c>
      <c r="C42" s="104">
        <v>184.48</v>
      </c>
      <c r="D42" s="105">
        <v>69.174000000000007</v>
      </c>
      <c r="E42" s="103">
        <v>20894</v>
      </c>
      <c r="F42" s="104">
        <v>10687.918</v>
      </c>
      <c r="G42" s="104">
        <v>12003.896000000001</v>
      </c>
      <c r="H42" s="106">
        <v>89.04</v>
      </c>
      <c r="I42" s="107">
        <v>3.1249091</v>
      </c>
      <c r="J42" s="108">
        <v>0</v>
      </c>
      <c r="K42" s="106">
        <v>3.1249091</v>
      </c>
      <c r="L42" s="107">
        <v>1028.346624</v>
      </c>
      <c r="M42" s="108">
        <v>1.9379519999999999</v>
      </c>
      <c r="N42" s="108">
        <v>0</v>
      </c>
      <c r="O42" s="106">
        <v>1030.284576</v>
      </c>
      <c r="P42" s="107">
        <v>1132.9306919999999</v>
      </c>
      <c r="Q42" s="106">
        <v>90.94</v>
      </c>
    </row>
    <row r="43" spans="1:17" ht="25.5" customHeight="1" x14ac:dyDescent="0.25">
      <c r="A43" s="47" t="s">
        <v>20</v>
      </c>
      <c r="B43" s="63">
        <v>184</v>
      </c>
      <c r="C43" s="65">
        <v>237.6</v>
      </c>
      <c r="D43" s="66">
        <v>95.171999999999997</v>
      </c>
      <c r="E43" s="63">
        <v>27293</v>
      </c>
      <c r="F43" s="65">
        <v>14705.511</v>
      </c>
      <c r="G43" s="65">
        <v>16440.88</v>
      </c>
      <c r="H43" s="67">
        <v>89.44</v>
      </c>
      <c r="I43" s="68">
        <v>0</v>
      </c>
      <c r="J43" s="69">
        <v>0</v>
      </c>
      <c r="K43" s="67">
        <v>0</v>
      </c>
      <c r="L43" s="68">
        <v>1410.6403299999999</v>
      </c>
      <c r="M43" s="69">
        <v>0</v>
      </c>
      <c r="N43" s="69">
        <v>0</v>
      </c>
      <c r="O43" s="67">
        <v>1410.6403299999999</v>
      </c>
      <c r="P43" s="68">
        <v>1545.9990600000001</v>
      </c>
      <c r="Q43" s="67">
        <v>91.24</v>
      </c>
    </row>
    <row r="44" spans="1:17" ht="25.5" customHeight="1" x14ac:dyDescent="0.25">
      <c r="A44" s="46" t="s">
        <v>21</v>
      </c>
      <c r="B44" s="109">
        <v>231</v>
      </c>
      <c r="C44" s="110">
        <v>306.60000000000002</v>
      </c>
      <c r="D44" s="111">
        <v>122.63200000000001</v>
      </c>
      <c r="E44" s="109">
        <v>33926</v>
      </c>
      <c r="F44" s="110">
        <v>18529.223000000002</v>
      </c>
      <c r="G44" s="110">
        <v>21158.655999999999</v>
      </c>
      <c r="H44" s="112">
        <v>87.57</v>
      </c>
      <c r="I44" s="113">
        <v>0.33250000000000002</v>
      </c>
      <c r="J44" s="114">
        <v>0</v>
      </c>
      <c r="K44" s="112">
        <v>0.33250000000000002</v>
      </c>
      <c r="L44" s="113">
        <v>1765.90291</v>
      </c>
      <c r="M44" s="114">
        <v>0.20854</v>
      </c>
      <c r="N44" s="114">
        <v>0</v>
      </c>
      <c r="O44" s="112">
        <v>1766.1114500000001</v>
      </c>
      <c r="P44" s="113">
        <v>1971.20721</v>
      </c>
      <c r="Q44" s="112">
        <v>89.6</v>
      </c>
    </row>
    <row r="45" spans="1:17" ht="25.5" customHeight="1" x14ac:dyDescent="0.25">
      <c r="A45" s="47" t="s">
        <v>22</v>
      </c>
      <c r="B45" s="63">
        <v>237</v>
      </c>
      <c r="C45" s="70">
        <v>321.43</v>
      </c>
      <c r="D45" s="66">
        <v>126.54</v>
      </c>
      <c r="E45" s="63">
        <v>34108</v>
      </c>
      <c r="F45" s="65">
        <v>19050.708999999999</v>
      </c>
      <c r="G45" s="65">
        <v>21774.448</v>
      </c>
      <c r="H45" s="67">
        <v>87.49</v>
      </c>
      <c r="I45" s="68">
        <v>0</v>
      </c>
      <c r="J45" s="69">
        <v>0</v>
      </c>
      <c r="K45" s="67">
        <v>0</v>
      </c>
      <c r="L45" s="68">
        <v>1812.78873</v>
      </c>
      <c r="M45" s="69">
        <v>0</v>
      </c>
      <c r="N45" s="69">
        <v>0</v>
      </c>
      <c r="O45" s="67">
        <v>1812.78873</v>
      </c>
      <c r="P45" s="68">
        <v>2025.24037</v>
      </c>
      <c r="Q45" s="67">
        <v>89.51</v>
      </c>
    </row>
    <row r="46" spans="1:17" ht="25.5" customHeight="1" x14ac:dyDescent="0.25">
      <c r="A46" s="46" t="s">
        <v>23</v>
      </c>
      <c r="B46" s="109">
        <v>244</v>
      </c>
      <c r="C46" s="115">
        <v>346.55</v>
      </c>
      <c r="D46" s="111">
        <v>130.02799999999999</v>
      </c>
      <c r="E46" s="109">
        <v>37447</v>
      </c>
      <c r="F46" s="110">
        <v>20741.036</v>
      </c>
      <c r="G46" s="110">
        <v>22433.135999999999</v>
      </c>
      <c r="H46" s="112">
        <v>92.46</v>
      </c>
      <c r="I46" s="113">
        <v>0.1</v>
      </c>
      <c r="J46" s="114">
        <v>0</v>
      </c>
      <c r="K46" s="112">
        <v>0.1</v>
      </c>
      <c r="L46" s="113">
        <v>1963.33133</v>
      </c>
      <c r="M46" s="114">
        <v>6.1899999999999997E-2</v>
      </c>
      <c r="N46" s="114">
        <v>0</v>
      </c>
      <c r="O46" s="112">
        <v>1963.3932299999999</v>
      </c>
      <c r="P46" s="113">
        <v>2095.377</v>
      </c>
      <c r="Q46" s="112">
        <v>93.7</v>
      </c>
    </row>
    <row r="47" spans="1:17" ht="25.5" customHeight="1" x14ac:dyDescent="0.25">
      <c r="A47" s="47" t="s">
        <v>39</v>
      </c>
      <c r="B47" s="71">
        <v>213</v>
      </c>
      <c r="C47" s="72">
        <v>297.8</v>
      </c>
      <c r="D47" s="66">
        <v>111.679</v>
      </c>
      <c r="E47" s="71">
        <v>33187</v>
      </c>
      <c r="F47" s="72">
        <v>17719.137999999999</v>
      </c>
      <c r="G47" s="72">
        <v>19193.66</v>
      </c>
      <c r="H47" s="67">
        <v>92.32</v>
      </c>
      <c r="I47" s="73">
        <v>0</v>
      </c>
      <c r="J47" s="74">
        <v>0</v>
      </c>
      <c r="K47" s="67">
        <v>0</v>
      </c>
      <c r="L47" s="73">
        <v>1679.73028</v>
      </c>
      <c r="M47" s="74">
        <v>0</v>
      </c>
      <c r="N47" s="74">
        <v>0</v>
      </c>
      <c r="O47" s="67">
        <v>1679.73028</v>
      </c>
      <c r="P47" s="73">
        <v>1794.7429199999999</v>
      </c>
      <c r="Q47" s="67">
        <v>93.59</v>
      </c>
    </row>
    <row r="48" spans="1:17" ht="25.5" customHeight="1" x14ac:dyDescent="0.25">
      <c r="A48" s="46" t="s">
        <v>40</v>
      </c>
      <c r="B48" s="116">
        <v>186</v>
      </c>
      <c r="C48" s="117">
        <v>264.08999999999997</v>
      </c>
      <c r="D48" s="118">
        <v>96.915999999999997</v>
      </c>
      <c r="E48" s="116">
        <v>27144</v>
      </c>
      <c r="F48" s="117">
        <v>14218.629000000001</v>
      </c>
      <c r="G48" s="117">
        <v>16425.903999999999</v>
      </c>
      <c r="H48" s="112">
        <v>86.56</v>
      </c>
      <c r="I48" s="119">
        <v>5.2999999999999999E-2</v>
      </c>
      <c r="J48" s="120">
        <v>0</v>
      </c>
      <c r="K48" s="112">
        <v>5.2999999999999999E-2</v>
      </c>
      <c r="L48" s="119">
        <v>1351.70326</v>
      </c>
      <c r="M48" s="120">
        <v>2.198E-2</v>
      </c>
      <c r="N48" s="120">
        <v>0</v>
      </c>
      <c r="O48" s="112">
        <v>1351.72524</v>
      </c>
      <c r="P48" s="119">
        <v>1523.8926200000001</v>
      </c>
      <c r="Q48" s="112">
        <v>88.7</v>
      </c>
    </row>
    <row r="49" spans="1:17" ht="25.5" customHeight="1" x14ac:dyDescent="0.25">
      <c r="A49" s="47" t="s">
        <v>25</v>
      </c>
      <c r="B49" s="71"/>
      <c r="C49" s="72"/>
      <c r="D49" s="76"/>
      <c r="E49" s="71"/>
      <c r="F49" s="72"/>
      <c r="G49" s="72"/>
      <c r="H49" s="67"/>
      <c r="I49" s="73"/>
      <c r="J49" s="74"/>
      <c r="K49" s="67"/>
      <c r="L49" s="73"/>
      <c r="M49" s="74"/>
      <c r="N49" s="74"/>
      <c r="O49" s="67"/>
      <c r="P49" s="73"/>
      <c r="Q49" s="67"/>
    </row>
    <row r="50" spans="1:17" ht="25.5" customHeight="1" x14ac:dyDescent="0.25">
      <c r="A50" s="46" t="s">
        <v>26</v>
      </c>
      <c r="B50" s="116"/>
      <c r="C50" s="117"/>
      <c r="D50" s="118"/>
      <c r="E50" s="116"/>
      <c r="F50" s="117"/>
      <c r="G50" s="117"/>
      <c r="H50" s="112"/>
      <c r="I50" s="119"/>
      <c r="J50" s="120"/>
      <c r="K50" s="112"/>
      <c r="L50" s="119"/>
      <c r="M50" s="120"/>
      <c r="N50" s="120"/>
      <c r="O50" s="112"/>
      <c r="P50" s="119"/>
      <c r="Q50" s="112"/>
    </row>
    <row r="51" spans="1:17" ht="25.5" customHeight="1" x14ac:dyDescent="0.25">
      <c r="A51" s="47" t="s">
        <v>27</v>
      </c>
      <c r="B51" s="71"/>
      <c r="C51" s="72"/>
      <c r="D51" s="76"/>
      <c r="E51" s="71"/>
      <c r="F51" s="72"/>
      <c r="G51" s="72"/>
      <c r="H51" s="67"/>
      <c r="I51" s="73"/>
      <c r="J51" s="74"/>
      <c r="K51" s="67"/>
      <c r="L51" s="73"/>
      <c r="M51" s="74"/>
      <c r="N51" s="74"/>
      <c r="O51" s="67"/>
      <c r="P51" s="73"/>
      <c r="Q51" s="67"/>
    </row>
    <row r="52" spans="1:17" ht="25.5" customHeight="1" x14ac:dyDescent="0.25">
      <c r="A52" s="46" t="s">
        <v>28</v>
      </c>
      <c r="B52" s="116"/>
      <c r="C52" s="117"/>
      <c r="D52" s="118"/>
      <c r="E52" s="116"/>
      <c r="F52" s="117"/>
      <c r="G52" s="117"/>
      <c r="H52" s="112"/>
      <c r="I52" s="119"/>
      <c r="J52" s="120"/>
      <c r="K52" s="112"/>
      <c r="L52" s="119"/>
      <c r="M52" s="120"/>
      <c r="N52" s="120"/>
      <c r="O52" s="112"/>
      <c r="P52" s="119"/>
      <c r="Q52" s="112"/>
    </row>
    <row r="53" spans="1:17" ht="25.5" customHeight="1" x14ac:dyDescent="0.25">
      <c r="A53" s="47" t="s">
        <v>29</v>
      </c>
      <c r="B53" s="77"/>
      <c r="C53" s="78"/>
      <c r="D53" s="79"/>
      <c r="E53" s="77"/>
      <c r="F53" s="78"/>
      <c r="G53" s="78"/>
      <c r="H53" s="80"/>
      <c r="I53" s="81"/>
      <c r="J53" s="82"/>
      <c r="K53" s="80"/>
      <c r="L53" s="81"/>
      <c r="M53" s="82"/>
      <c r="N53" s="82"/>
      <c r="O53" s="80"/>
      <c r="P53" s="81"/>
      <c r="Q53" s="80"/>
    </row>
    <row r="54" spans="1:17" ht="25.5" customHeight="1" x14ac:dyDescent="0.25">
      <c r="A54" s="122" t="s">
        <v>30</v>
      </c>
      <c r="B54" s="123">
        <f t="shared" ref="B54:G54" si="4">IFERROR(SUM(B42:B53),"")</f>
        <v>1436</v>
      </c>
      <c r="C54" s="123">
        <f t="shared" si="4"/>
        <v>1958.55</v>
      </c>
      <c r="D54" s="123">
        <f t="shared" si="4"/>
        <v>752.14100000000008</v>
      </c>
      <c r="E54" s="123">
        <f t="shared" si="4"/>
        <v>213999</v>
      </c>
      <c r="F54" s="123">
        <f t="shared" si="4"/>
        <v>115652.164</v>
      </c>
      <c r="G54" s="123">
        <f t="shared" si="4"/>
        <v>129430.58</v>
      </c>
      <c r="H54" s="124">
        <f>IFERROR(F54/G54*100,"")</f>
        <v>89.354589927666254</v>
      </c>
      <c r="I54" s="124">
        <f t="shared" ref="I54:P54" si="5">IFERROR(SUM(I42:I53),"")</f>
        <v>3.6104091</v>
      </c>
      <c r="J54" s="124">
        <f t="shared" si="5"/>
        <v>0</v>
      </c>
      <c r="K54" s="124">
        <f t="shared" si="5"/>
        <v>3.6104091</v>
      </c>
      <c r="L54" s="124">
        <f t="shared" si="5"/>
        <v>11012.443464</v>
      </c>
      <c r="M54" s="124">
        <f t="shared" si="5"/>
        <v>2.230372</v>
      </c>
      <c r="N54" s="124">
        <f t="shared" si="5"/>
        <v>0</v>
      </c>
      <c r="O54" s="124">
        <f t="shared" si="5"/>
        <v>11014.673836</v>
      </c>
      <c r="P54" s="125">
        <f t="shared" si="5"/>
        <v>12089.389872000002</v>
      </c>
      <c r="Q54" s="124">
        <f>IFERROR(O54/P54*100,"")</f>
        <v>91.110254137066676</v>
      </c>
    </row>
    <row r="55" spans="1:17" ht="22.5" customHeight="1" x14ac:dyDescent="0.25">
      <c r="A55" s="137" t="s">
        <v>43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</row>
    <row r="56" spans="1:17" ht="22.5" customHeight="1" x14ac:dyDescent="0.25">
      <c r="A56" s="127" t="s">
        <v>31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55" t="s">
        <v>42</v>
      </c>
      <c r="B58" s="156"/>
      <c r="C58" s="157" t="s">
        <v>35</v>
      </c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8" t="s">
        <v>41</v>
      </c>
      <c r="P58" s="158"/>
      <c r="Q58" s="159"/>
    </row>
    <row r="59" spans="1:17" ht="33.75" customHeight="1" x14ac:dyDescent="0.25">
      <c r="A59" s="160" t="s">
        <v>1</v>
      </c>
      <c r="B59" s="160" t="s">
        <v>2</v>
      </c>
      <c r="C59" s="160"/>
      <c r="D59" s="160"/>
      <c r="E59" s="161" t="s">
        <v>3</v>
      </c>
      <c r="F59" s="161" t="s">
        <v>4</v>
      </c>
      <c r="G59" s="161" t="s">
        <v>5</v>
      </c>
      <c r="H59" s="161" t="s">
        <v>37</v>
      </c>
      <c r="I59" s="160" t="s">
        <v>6</v>
      </c>
      <c r="J59" s="160"/>
      <c r="K59" s="160"/>
      <c r="L59" s="160" t="s">
        <v>7</v>
      </c>
      <c r="M59" s="160"/>
      <c r="N59" s="160"/>
      <c r="O59" s="160"/>
      <c r="P59" s="161" t="s">
        <v>8</v>
      </c>
      <c r="Q59" s="161" t="s">
        <v>38</v>
      </c>
    </row>
    <row r="60" spans="1:17" ht="164.25" customHeight="1" x14ac:dyDescent="0.25">
      <c r="A60" s="160"/>
      <c r="B60" s="39" t="s">
        <v>9</v>
      </c>
      <c r="C60" s="39" t="s">
        <v>10</v>
      </c>
      <c r="D60" s="39" t="s">
        <v>11</v>
      </c>
      <c r="E60" s="162"/>
      <c r="F60" s="162"/>
      <c r="G60" s="162"/>
      <c r="H60" s="162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62"/>
      <c r="Q60" s="162"/>
    </row>
    <row r="61" spans="1:17" ht="24.75" customHeight="1" x14ac:dyDescent="0.25">
      <c r="A61" s="48" t="s">
        <v>19</v>
      </c>
      <c r="B61" s="89"/>
      <c r="C61" s="90"/>
      <c r="D61" s="91"/>
      <c r="E61" s="89"/>
      <c r="F61" s="90"/>
      <c r="G61" s="90"/>
      <c r="H61" s="92"/>
      <c r="I61" s="94"/>
      <c r="J61" s="95"/>
      <c r="K61" s="95"/>
      <c r="L61" s="94"/>
      <c r="M61" s="95"/>
      <c r="N61" s="95"/>
      <c r="O61" s="92"/>
      <c r="P61" s="95"/>
      <c r="Q61" s="92"/>
    </row>
    <row r="62" spans="1:17" ht="24.75" customHeight="1" x14ac:dyDescent="0.25">
      <c r="A62" s="47" t="s">
        <v>20</v>
      </c>
      <c r="B62" s="71">
        <v>2</v>
      </c>
      <c r="C62" s="72">
        <v>15.04</v>
      </c>
      <c r="D62" s="76">
        <v>7.51</v>
      </c>
      <c r="E62" s="71">
        <v>206</v>
      </c>
      <c r="F62" s="72">
        <v>819.84</v>
      </c>
      <c r="G62" s="72">
        <v>1788.34</v>
      </c>
      <c r="H62" s="67">
        <v>45.84</v>
      </c>
      <c r="I62" s="73">
        <v>0</v>
      </c>
      <c r="J62" s="74">
        <v>0</v>
      </c>
      <c r="K62" s="74">
        <v>0</v>
      </c>
      <c r="L62" s="73">
        <v>77.311809999999994</v>
      </c>
      <c r="M62" s="74">
        <v>0</v>
      </c>
      <c r="N62" s="74">
        <v>0</v>
      </c>
      <c r="O62" s="67">
        <v>77.311809999999994</v>
      </c>
      <c r="P62" s="74">
        <v>152.85480999999999</v>
      </c>
      <c r="Q62" s="67">
        <v>50.58</v>
      </c>
    </row>
    <row r="63" spans="1:17" ht="24.75" customHeight="1" x14ac:dyDescent="0.25">
      <c r="A63" s="48" t="s">
        <v>21</v>
      </c>
      <c r="B63" s="96">
        <v>1</v>
      </c>
      <c r="C63" s="97">
        <v>10.32</v>
      </c>
      <c r="D63" s="98">
        <v>5.86</v>
      </c>
      <c r="E63" s="96">
        <v>114</v>
      </c>
      <c r="F63" s="97">
        <v>668.04</v>
      </c>
      <c r="G63" s="97">
        <v>1517.74</v>
      </c>
      <c r="H63" s="99">
        <v>44.02</v>
      </c>
      <c r="I63" s="100">
        <v>0</v>
      </c>
      <c r="J63" s="101">
        <v>0</v>
      </c>
      <c r="K63" s="101">
        <v>0</v>
      </c>
      <c r="L63" s="100">
        <v>65.256960000000007</v>
      </c>
      <c r="M63" s="101">
        <v>0</v>
      </c>
      <c r="N63" s="101">
        <v>0</v>
      </c>
      <c r="O63" s="99">
        <v>65.256960000000007</v>
      </c>
      <c r="P63" s="101">
        <v>131.53355999999999</v>
      </c>
      <c r="Q63" s="99">
        <v>49.61</v>
      </c>
    </row>
    <row r="64" spans="1:17" ht="24.75" customHeight="1" x14ac:dyDescent="0.25">
      <c r="A64" s="47" t="s">
        <v>22</v>
      </c>
      <c r="B64" s="71"/>
      <c r="C64" s="72"/>
      <c r="D64" s="76"/>
      <c r="E64" s="71"/>
      <c r="F64" s="72"/>
      <c r="G64" s="72"/>
      <c r="H64" s="67"/>
      <c r="I64" s="73"/>
      <c r="J64" s="74"/>
      <c r="K64" s="74"/>
      <c r="L64" s="73"/>
      <c r="M64" s="74"/>
      <c r="N64" s="74"/>
      <c r="O64" s="67"/>
      <c r="P64" s="74"/>
      <c r="Q64" s="67"/>
    </row>
    <row r="65" spans="1:17" ht="24.75" customHeight="1" x14ac:dyDescent="0.25">
      <c r="A65" s="48" t="s">
        <v>23</v>
      </c>
      <c r="B65" s="96"/>
      <c r="C65" s="97"/>
      <c r="D65" s="98"/>
      <c r="E65" s="96"/>
      <c r="F65" s="97"/>
      <c r="G65" s="97"/>
      <c r="H65" s="99"/>
      <c r="I65" s="100"/>
      <c r="J65" s="101"/>
      <c r="K65" s="101"/>
      <c r="L65" s="100"/>
      <c r="M65" s="101"/>
      <c r="N65" s="101"/>
      <c r="O65" s="99"/>
      <c r="P65" s="101"/>
      <c r="Q65" s="99"/>
    </row>
    <row r="66" spans="1:17" ht="24.75" customHeight="1" x14ac:dyDescent="0.25">
      <c r="A66" s="47" t="s">
        <v>39</v>
      </c>
      <c r="B66" s="71"/>
      <c r="C66" s="72"/>
      <c r="D66" s="76"/>
      <c r="E66" s="71"/>
      <c r="F66" s="72"/>
      <c r="G66" s="72"/>
      <c r="H66" s="67"/>
      <c r="I66" s="73"/>
      <c r="J66" s="74"/>
      <c r="K66" s="74"/>
      <c r="L66" s="73"/>
      <c r="M66" s="74"/>
      <c r="N66" s="74"/>
      <c r="O66" s="67"/>
      <c r="P66" s="74"/>
      <c r="Q66" s="67"/>
    </row>
    <row r="67" spans="1:17" ht="24.75" customHeight="1" x14ac:dyDescent="0.25">
      <c r="A67" s="48" t="s">
        <v>40</v>
      </c>
      <c r="B67" s="96"/>
      <c r="C67" s="97"/>
      <c r="D67" s="98"/>
      <c r="E67" s="96"/>
      <c r="F67" s="97"/>
      <c r="G67" s="97"/>
      <c r="H67" s="99"/>
      <c r="I67" s="100"/>
      <c r="J67" s="101"/>
      <c r="K67" s="101"/>
      <c r="L67" s="100"/>
      <c r="M67" s="101"/>
      <c r="N67" s="101"/>
      <c r="O67" s="99"/>
      <c r="P67" s="101"/>
      <c r="Q67" s="99"/>
    </row>
    <row r="68" spans="1:17" ht="24.75" customHeight="1" x14ac:dyDescent="0.25">
      <c r="A68" s="47" t="s">
        <v>25</v>
      </c>
      <c r="B68" s="71"/>
      <c r="C68" s="72"/>
      <c r="D68" s="76"/>
      <c r="E68" s="71"/>
      <c r="F68" s="72"/>
      <c r="G68" s="72"/>
      <c r="H68" s="67"/>
      <c r="I68" s="73"/>
      <c r="J68" s="74"/>
      <c r="K68" s="74"/>
      <c r="L68" s="73"/>
      <c r="M68" s="74"/>
      <c r="N68" s="74"/>
      <c r="O68" s="67"/>
      <c r="P68" s="74"/>
      <c r="Q68" s="67"/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/>
      <c r="C71" s="97"/>
      <c r="D71" s="98"/>
      <c r="E71" s="96"/>
      <c r="F71" s="97"/>
      <c r="G71" s="97"/>
      <c r="H71" s="99"/>
      <c r="I71" s="100"/>
      <c r="J71" s="101"/>
      <c r="K71" s="101"/>
      <c r="L71" s="100"/>
      <c r="M71" s="101"/>
      <c r="N71" s="101"/>
      <c r="O71" s="99"/>
      <c r="P71" s="101"/>
      <c r="Q71" s="99"/>
    </row>
    <row r="72" spans="1:17" ht="24.75" customHeight="1" x14ac:dyDescent="0.25">
      <c r="A72" s="47" t="s">
        <v>29</v>
      </c>
      <c r="B72" s="77"/>
      <c r="C72" s="78"/>
      <c r="D72" s="79"/>
      <c r="E72" s="77"/>
      <c r="F72" s="78"/>
      <c r="G72" s="78"/>
      <c r="H72" s="80"/>
      <c r="I72" s="81"/>
      <c r="J72" s="82"/>
      <c r="K72" s="82"/>
      <c r="L72" s="81"/>
      <c r="M72" s="82"/>
      <c r="N72" s="82"/>
      <c r="O72" s="80"/>
      <c r="P72" s="82"/>
      <c r="Q72" s="80"/>
    </row>
    <row r="73" spans="1:17" ht="34.5" customHeight="1" x14ac:dyDescent="0.25">
      <c r="A73" s="86" t="s">
        <v>30</v>
      </c>
      <c r="B73" s="87">
        <f t="shared" ref="B73:G73" si="6">IFERROR(SUM(B61:B72),"")</f>
        <v>3</v>
      </c>
      <c r="C73" s="87">
        <f t="shared" si="6"/>
        <v>25.36</v>
      </c>
      <c r="D73" s="87">
        <f t="shared" si="6"/>
        <v>13.370000000000001</v>
      </c>
      <c r="E73" s="87">
        <f t="shared" si="6"/>
        <v>320</v>
      </c>
      <c r="F73" s="87">
        <f t="shared" si="6"/>
        <v>1487.88</v>
      </c>
      <c r="G73" s="87">
        <f t="shared" si="6"/>
        <v>3306.08</v>
      </c>
      <c r="H73" s="88">
        <f>IFERROR(F73/G73*100,"")</f>
        <v>45.004355611479461</v>
      </c>
      <c r="I73" s="88">
        <f t="shared" ref="I73:P73" si="7">IFERROR(SUM(I61:I72),"")</f>
        <v>0</v>
      </c>
      <c r="J73" s="88">
        <f t="shared" si="7"/>
        <v>0</v>
      </c>
      <c r="K73" s="88">
        <f t="shared" si="7"/>
        <v>0</v>
      </c>
      <c r="L73" s="88">
        <f t="shared" si="7"/>
        <v>142.56877</v>
      </c>
      <c r="M73" s="88">
        <f t="shared" si="7"/>
        <v>0</v>
      </c>
      <c r="N73" s="88">
        <f t="shared" si="7"/>
        <v>0</v>
      </c>
      <c r="O73" s="88">
        <f t="shared" si="7"/>
        <v>142.56877</v>
      </c>
      <c r="P73" s="88">
        <f t="shared" si="7"/>
        <v>284.38837000000001</v>
      </c>
      <c r="Q73" s="88">
        <f>IFERROR(O73/P73*100,"")</f>
        <v>50.131716005123565</v>
      </c>
    </row>
    <row r="74" spans="1:17" ht="15.75" x14ac:dyDescent="0.25">
      <c r="A74" s="137" t="s">
        <v>43</v>
      </c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</row>
    <row r="75" spans="1:17" ht="15.75" x14ac:dyDescent="0.25">
      <c r="A75" s="127" t="s">
        <v>31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32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2026-08-13T07:28:53Z</dcterms:modified>
</cp:coreProperties>
</file>
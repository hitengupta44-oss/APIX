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<sst xmlns="http://schemas.openxmlformats.org/spreadsheetml/2006/main" count="157" uniqueCount="44">
  <si>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</si>
  <si>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</si>
  <si>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</si>
  <si>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</si>
  <si>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</si>
  <si>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</si>
  <si>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</si>
  <si>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</si>
  <si>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</si>
  <si>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</si>
  <si>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</si>
  <si>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</si>
  <si>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</si>
  <si>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</si>
  <si>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</si>
  <si>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</si>
  <si>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</si>
  <si>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</si>
  <si>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</si>
  <si>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</si>
  <si>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</si>
  <si>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</si>
  <si>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</si>
  <si>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</si>
  <si>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</si>
  <si>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</si>
  <si>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</si>
  <si>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</si>
  <si>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</si>
  <si>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</si>
  <si>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</si>
  <si>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</si>
  <si>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</si>
  <si>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</si>
  <si>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</si>
  <si>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</si>
  <si>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</si>
  <si>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</si>
  <si>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</si>
  <si>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</si>
  <si>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</si>
  <si>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INDIGO</t>
  </si>
  <si>
    <t>2026</t>
  </si>
  <si>
    <t>SOURCE:- ICAO ATR FORM A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</si>
</sst>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2" transitionEvaluation="1" transitionEntry="1"/>
  <dimension ref="A1:Q494"/>
  <sheetViews>
    <sheetView showGridLines="0" tabSelected="1" view="pageBreakPreview" topLeftCell="A32" zoomScale="115" zoomScaleNormal="85" zoomScaleSheetLayoutView="115" workbookViewId="0">
      <selection activeCell="N73" sqref="N7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58905</v>
      </c>
      <c r="C4" s="21">
        <v>105662</v>
      </c>
      <c r="D4" s="22">
        <v>52623.353000000003</v>
      </c>
      <c r="E4" s="23">
        <v>9704113</v>
      </c>
      <c r="F4" s="21">
        <v>9207043</v>
      </c>
      <c r="G4" s="21">
        <v>10501553</v>
      </c>
      <c r="H4" s="25">
        <v>87.67</v>
      </c>
      <c r="I4" s="26">
        <v>25942.02</v>
      </c>
      <c r="J4" s="27">
        <v>2724.721</v>
      </c>
      <c r="K4" s="25">
        <v>28666.741000000002</v>
      </c>
      <c r="L4" s="26">
        <v>828630.12878999999</v>
      </c>
      <c r="M4" s="27">
        <v>30169.433971999999</v>
      </c>
      <c r="N4" s="27">
        <v>2418.3961960000001</v>
      </c>
      <c r="O4" s="25">
        <v>861217.95895799994</v>
      </c>
      <c r="P4" s="27">
        <v>1175608.4578799999</v>
      </c>
      <c r="Q4" s="25">
        <v>73.260000000000005</v>
      </c>
    </row>
    <row r="5" spans="1:17" ht="23.1" customHeight="1" x14ac:dyDescent="0.25">
      <c r="A5" s="43" t="s">
        <v>20</v>
      </c>
      <c r="B5" s="64">
        <v>53451</v>
      </c>
      <c r="C5" s="64">
        <v>95760.383333333302</v>
      </c>
      <c r="D5" s="53">
        <v>47707.353999999999</v>
      </c>
      <c r="E5" s="75">
        <v>8870677</v>
      </c>
      <c r="F5" s="64">
        <v>8463891</v>
      </c>
      <c r="G5" s="64">
        <v>9444818</v>
      </c>
      <c r="H5" s="84">
        <v>89.61</v>
      </c>
      <c r="I5" s="93">
        <v>26549.383999999998</v>
      </c>
      <c r="J5" s="102">
        <v>2895.9189999999999</v>
      </c>
      <c r="K5" s="84">
        <v>29445.303</v>
      </c>
      <c r="L5" s="93">
        <v>761587.23753000004</v>
      </c>
      <c r="M5" s="102">
        <v>30772.169985</v>
      </c>
      <c r="N5" s="102">
        <v>2634.1419030000002</v>
      </c>
      <c r="O5" s="84">
        <v>794993.54941800004</v>
      </c>
      <c r="P5" s="102">
        <v>1053109.4598350001</v>
      </c>
      <c r="Q5" s="84">
        <v>75.489999999999995</v>
      </c>
    </row>
    <row r="6" spans="1:17" ht="23.1" customHeight="1" x14ac:dyDescent="0.25">
      <c r="A6" s="45" t="s">
        <v>21</v>
      </c>
      <c r="B6" s="29">
        <v>59494</v>
      </c>
      <c r="C6" s="29">
        <v>106281.31666</v>
      </c>
      <c r="D6" s="28">
        <v>52994.94</v>
      </c>
      <c r="E6" s="30">
        <v>9118668</v>
      </c>
      <c r="F6" s="29">
        <v>8750157</v>
      </c>
      <c r="G6" s="29">
        <v>10483236</v>
      </c>
      <c r="H6" s="31">
        <v>83.47</v>
      </c>
      <c r="I6" s="32">
        <v>29546.485000000001</v>
      </c>
      <c r="J6" s="33">
        <v>2654.6439999999998</v>
      </c>
      <c r="K6" s="31">
        <v>32201.129000000001</v>
      </c>
      <c r="L6" s="32">
        <v>787352.57819999999</v>
      </c>
      <c r="M6" s="33">
        <v>34122.051747999998</v>
      </c>
      <c r="N6" s="33">
        <v>2346.8440000000001</v>
      </c>
      <c r="O6" s="31">
        <v>823821.473948</v>
      </c>
      <c r="P6" s="33">
        <v>1169440.951505</v>
      </c>
      <c r="Q6" s="31">
        <v>70.45</v>
      </c>
    </row>
    <row r="7" spans="1:17" ht="23.1" customHeight="1" x14ac:dyDescent="0.25">
      <c r="A7" s="43" t="s">
        <v>22</v>
      </c>
      <c r="B7" s="64">
        <v>59264</v>
      </c>
      <c r="C7" s="64">
        <v>105953.33</v>
      </c>
      <c r="D7" s="53">
        <v>52488.546999999999</v>
      </c>
      <c r="E7" s="75">
        <v>8978789</v>
      </c>
      <c r="F7" s="64">
        <v>8635297</v>
      </c>
      <c r="G7" s="64">
        <v>10439820</v>
      </c>
      <c r="H7" s="84">
        <v>82.71</v>
      </c>
      <c r="I7" s="93">
        <v>28480.355</v>
      </c>
      <c r="J7" s="102">
        <v>2764.3710000000001</v>
      </c>
      <c r="K7" s="84">
        <v>31244.725999999999</v>
      </c>
      <c r="L7" s="93">
        <v>777013.69715999998</v>
      </c>
      <c r="M7" s="102">
        <v>32747.970625000002</v>
      </c>
      <c r="N7" s="102">
        <v>2465.811561</v>
      </c>
      <c r="O7" s="84">
        <v>812227.47934600001</v>
      </c>
      <c r="P7" s="102">
        <v>1188216.2467469999</v>
      </c>
      <c r="Q7" s="84">
        <v>68.36</v>
      </c>
    </row>
    <row r="8" spans="1:17" ht="30" customHeight="1" x14ac:dyDescent="0.25">
      <c r="A8" s="45" t="s">
        <v>23</v>
      </c>
      <c r="B8" s="29">
        <v>62993</v>
      </c>
      <c r="C8" s="29">
        <v>113100.6</v>
      </c>
      <c r="D8" s="28">
        <v>56001.828999999998</v>
      </c>
      <c r="E8" s="30">
        <v>9991048</v>
      </c>
      <c r="F8" s="29">
        <v>9603478</v>
      </c>
      <c r="G8" s="29">
        <v>11112753</v>
      </c>
      <c r="H8" s="31">
        <v>86.42</v>
      </c>
      <c r="I8" s="32">
        <v>31854.670999999998</v>
      </c>
      <c r="J8" s="33">
        <v>2581.5880000000002</v>
      </c>
      <c r="K8" s="31">
        <v>34436.258999999998</v>
      </c>
      <c r="L8" s="32">
        <v>863960.65532999998</v>
      </c>
      <c r="M8" s="33">
        <v>37439.208161000002</v>
      </c>
      <c r="N8" s="33">
        <v>2314.0214150000002</v>
      </c>
      <c r="O8" s="31">
        <v>903713.88490599999</v>
      </c>
      <c r="P8" s="33">
        <v>1264853.573878</v>
      </c>
      <c r="Q8" s="31">
        <v>71.45</v>
      </c>
    </row>
    <row r="9" spans="1:17" ht="23.1" customHeight="1" x14ac:dyDescent="0.25">
      <c r="A9" s="43" t="s">
        <v>39</v>
      </c>
      <c r="B9" s="64">
        <v>56588</v>
      </c>
      <c r="C9" s="64">
        <v>99878.866666999995</v>
      </c>
      <c r="D9" s="53">
        <v>50045.911</v>
      </c>
      <c r="E9" s="75">
        <v>8920012</v>
      </c>
      <c r="F9" s="64">
        <v>8501118</v>
      </c>
      <c r="G9" s="64">
        <v>9984689</v>
      </c>
      <c r="H9" s="84">
        <v>85.14</v>
      </c>
      <c r="I9" s="93">
        <v>31532.227999999999</v>
      </c>
      <c r="J9" s="102">
        <v>2945.328</v>
      </c>
      <c r="K9" s="84">
        <v>34477.555999999997</v>
      </c>
      <c r="L9" s="93">
        <v>764790.91983000003</v>
      </c>
      <c r="M9" s="102">
        <v>37149.965700000001</v>
      </c>
      <c r="N9" s="102">
        <v>2662.354527</v>
      </c>
      <c r="O9" s="84">
        <v>804603.24005699996</v>
      </c>
      <c r="P9" s="102">
        <v>1137029.631822</v>
      </c>
      <c r="Q9" s="84">
        <v>70.760000000000005</v>
      </c>
    </row>
    <row r="10" spans="1:17" ht="23.1" customHeight="1" x14ac:dyDescent="0.25">
      <c r="A10" s="45" t="s">
        <v>24</v>
      </c>
      <c r="B10" s="29">
        <v>52259</v>
      </c>
      <c r="C10" s="29">
        <v>91685.033332999999</v>
      </c>
      <c r="D10" s="28">
        <v>45829.302000000003</v>
      </c>
      <c r="E10" s="30">
        <v>8081825</v>
      </c>
      <c r="F10" s="29">
        <v>7600417</v>
      </c>
      <c r="G10" s="29">
        <v>9218918</v>
      </c>
      <c r="H10" s="31">
        <v>82.44</v>
      </c>
      <c r="I10" s="32">
        <v>31946.361000000001</v>
      </c>
      <c r="J10" s="33">
        <v>3059.384</v>
      </c>
      <c r="K10" s="31">
        <v>35005.745000000003</v>
      </c>
      <c r="L10" s="32">
        <v>683807.08499999996</v>
      </c>
      <c r="M10" s="33">
        <v>37167.211160999999</v>
      </c>
      <c r="N10" s="33">
        <v>2698.9849979999999</v>
      </c>
      <c r="O10" s="31">
        <v>723673.28115900001</v>
      </c>
      <c r="P10" s="33">
        <v>1051942.925599</v>
      </c>
      <c r="Q10" s="31">
        <v>68.790000000000006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402954</v>
      </c>
      <c r="C16" s="36">
        <f t="shared" si="0"/>
        <v>718321.52999333339</v>
      </c>
      <c r="D16" s="36">
        <f t="shared" si="0"/>
        <v>357691.23600000003</v>
      </c>
      <c r="E16" s="36">
        <f t="shared" si="0"/>
        <v>63665132</v>
      </c>
      <c r="F16" s="36">
        <f t="shared" si="0"/>
        <v>60761401</v>
      </c>
      <c r="G16" s="36">
        <f t="shared" si="0"/>
        <v>71185787</v>
      </c>
      <c r="H16" s="37">
        <f>IFERROR(F16/G16*100,"")</f>
        <v>85.356085197175673</v>
      </c>
      <c r="I16" s="37">
        <f t="shared" ref="I16:P16" si="1">IFERROR(SUM(I4:I15),"")</f>
        <v>205851.50399999999</v>
      </c>
      <c r="J16" s="37">
        <f t="shared" si="1"/>
        <v>19625.955000000002</v>
      </c>
      <c r="K16" s="37">
        <f t="shared" si="1"/>
        <v>225477.45899999997</v>
      </c>
      <c r="L16" s="37">
        <f t="shared" si="1"/>
        <v>5467142.3018399999</v>
      </c>
      <c r="M16" s="37">
        <f t="shared" si="1"/>
        <v>239568.011352</v>
      </c>
      <c r="N16" s="37">
        <f t="shared" si="1"/>
        <v>17540.554599999999</v>
      </c>
      <c r="O16" s="37">
        <f t="shared" si="1"/>
        <v>5724250.8677919991</v>
      </c>
      <c r="P16" s="38">
        <f t="shared" si="1"/>
        <v>8040201.2472660001</v>
      </c>
      <c r="Q16" s="38">
        <f>IFERROR(O16/P16*100,"")</f>
        <v>71.195368023138485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9368</v>
      </c>
      <c r="C23" s="8">
        <v>38820.067000000003</v>
      </c>
      <c r="D23" s="9">
        <v>25506.02</v>
      </c>
      <c r="E23" s="7">
        <v>1655763</v>
      </c>
      <c r="F23" s="8">
        <v>4716788</v>
      </c>
      <c r="G23" s="8">
        <v>5463909</v>
      </c>
      <c r="H23" s="10">
        <v>86.33</v>
      </c>
      <c r="I23" s="11">
        <v>5878.3689999999997</v>
      </c>
      <c r="J23" s="11">
        <v>5.5019999999999998</v>
      </c>
      <c r="K23" s="11">
        <v>5883.8710000000001</v>
      </c>
      <c r="L23" s="12">
        <v>424511.34813</v>
      </c>
      <c r="M23" s="11">
        <v>22768.83221</v>
      </c>
      <c r="N23" s="11">
        <v>13.18571</v>
      </c>
      <c r="O23" s="14">
        <v>447293.36605000001</v>
      </c>
      <c r="P23" s="12">
        <v>486335.44109500002</v>
      </c>
      <c r="Q23" s="14">
        <v>91.97</v>
      </c>
    </row>
    <row r="24" spans="1:17" ht="23.1" customHeight="1" x14ac:dyDescent="0.25">
      <c r="A24" s="51" t="s">
        <v>20</v>
      </c>
      <c r="B24" s="51">
        <v>8108</v>
      </c>
      <c r="C24" s="50">
        <v>33368.116666666698</v>
      </c>
      <c r="D24" s="52">
        <v>22164.311000000002</v>
      </c>
      <c r="E24" s="51">
        <v>1360775</v>
      </c>
      <c r="F24" s="50">
        <v>3877054</v>
      </c>
      <c r="G24" s="50">
        <v>4761934</v>
      </c>
      <c r="H24" s="54">
        <v>81.42</v>
      </c>
      <c r="I24" s="55">
        <v>6161.884</v>
      </c>
      <c r="J24" s="55">
        <v>4.3689999999999998</v>
      </c>
      <c r="K24" s="55">
        <v>6166.2529999999997</v>
      </c>
      <c r="L24" s="56">
        <v>348901.35525000002</v>
      </c>
      <c r="M24" s="55">
        <v>24656.45937</v>
      </c>
      <c r="N24" s="55">
        <v>9.6434650000000008</v>
      </c>
      <c r="O24" s="54">
        <v>373567.45808499999</v>
      </c>
      <c r="P24" s="56">
        <v>410857.782985</v>
      </c>
      <c r="Q24" s="54">
        <v>90.92</v>
      </c>
    </row>
    <row r="25" spans="1:17" ht="23.1" customHeight="1" x14ac:dyDescent="0.25">
      <c r="A25" s="15" t="s">
        <v>21</v>
      </c>
      <c r="B25" s="15">
        <v>5238</v>
      </c>
      <c r="C25" s="6">
        <v>20815.919999999998</v>
      </c>
      <c r="D25" s="16">
        <v>14039.272999999999</v>
      </c>
      <c r="E25" s="15">
        <v>809804</v>
      </c>
      <c r="F25" s="6">
        <v>2305455</v>
      </c>
      <c r="G25" s="6">
        <v>2859455</v>
      </c>
      <c r="H25" s="10">
        <v>80.63</v>
      </c>
      <c r="I25" s="17">
        <v>3488.0940000000001</v>
      </c>
      <c r="J25" s="17">
        <v>2.9119999999999999</v>
      </c>
      <c r="K25" s="17">
        <v>3491.0059999999999</v>
      </c>
      <c r="L25" s="18">
        <v>207490.71833999999</v>
      </c>
      <c r="M25" s="17">
        <v>11870.478936</v>
      </c>
      <c r="N25" s="17">
        <v>5.0666700000000002</v>
      </c>
      <c r="O25" s="10">
        <v>219366.26394599999</v>
      </c>
      <c r="P25" s="18">
        <v>271540.50052399997</v>
      </c>
      <c r="Q25" s="10">
        <v>80.790000000000006</v>
      </c>
    </row>
    <row r="26" spans="1:17" ht="23.1" customHeight="1" x14ac:dyDescent="0.25">
      <c r="A26" s="51" t="s">
        <v>22</v>
      </c>
      <c r="B26" s="51">
        <v>5607</v>
      </c>
      <c r="C26" s="50">
        <v>23153.916666666701</v>
      </c>
      <c r="D26" s="52">
        <v>15690.673000000001</v>
      </c>
      <c r="E26" s="51">
        <v>870882</v>
      </c>
      <c r="F26" s="50">
        <v>2537623</v>
      </c>
      <c r="G26" s="50">
        <v>3285124</v>
      </c>
      <c r="H26" s="54">
        <v>77.25</v>
      </c>
      <c r="I26" s="55">
        <v>4792.5010000000002</v>
      </c>
      <c r="J26" s="55">
        <v>5.4889999999999999</v>
      </c>
      <c r="K26" s="55">
        <v>4797.99</v>
      </c>
      <c r="L26" s="56">
        <v>228385.5876</v>
      </c>
      <c r="M26" s="55">
        <v>20465.110511999999</v>
      </c>
      <c r="N26" s="55">
        <v>11.169465000000001</v>
      </c>
      <c r="O26" s="54">
        <v>248861.867577</v>
      </c>
      <c r="P26" s="56">
        <v>287255.20023800002</v>
      </c>
      <c r="Q26" s="54">
        <v>86.63</v>
      </c>
    </row>
    <row r="27" spans="1:17" ht="30" customHeight="1" x14ac:dyDescent="0.25">
      <c r="A27" s="15" t="s">
        <v>23</v>
      </c>
      <c r="B27" s="15">
        <v>7254</v>
      </c>
      <c r="C27" s="6">
        <v>29394.866666666701</v>
      </c>
      <c r="D27" s="16">
        <v>19806.708999999999</v>
      </c>
      <c r="E27" s="15">
        <v>1195547</v>
      </c>
      <c r="F27" s="6">
        <v>3349700</v>
      </c>
      <c r="G27" s="6">
        <v>4178539</v>
      </c>
      <c r="H27" s="10">
        <v>80.16</v>
      </c>
      <c r="I27" s="17">
        <v>5629.28</v>
      </c>
      <c r="J27" s="17">
        <v>10.122</v>
      </c>
      <c r="K27" s="17">
        <v>5639.402</v>
      </c>
      <c r="L27" s="18">
        <v>301473.08198999998</v>
      </c>
      <c r="M27" s="17">
        <v>24029.824284999999</v>
      </c>
      <c r="N27" s="17">
        <v>20.254244</v>
      </c>
      <c r="O27" s="10">
        <v>325523.16051900003</v>
      </c>
      <c r="P27" s="18">
        <v>356809.14351099997</v>
      </c>
      <c r="Q27" s="10">
        <v>91.23</v>
      </c>
    </row>
    <row r="28" spans="1:17" ht="23.1" customHeight="1" x14ac:dyDescent="0.25">
      <c r="A28" s="51" t="s">
        <v>39</v>
      </c>
      <c r="B28" s="51">
        <v>7778</v>
      </c>
      <c r="C28" s="50">
        <v>31525.65</v>
      </c>
      <c r="D28" s="52">
        <v>21380.418000000001</v>
      </c>
      <c r="E28" s="51">
        <v>1276430</v>
      </c>
      <c r="F28" s="50">
        <v>3594349</v>
      </c>
      <c r="G28" s="50">
        <v>4477129</v>
      </c>
      <c r="H28" s="54">
        <v>80.28</v>
      </c>
      <c r="I28" s="55">
        <v>6022.3869999999997</v>
      </c>
      <c r="J28" s="55">
        <v>16.443999999999999</v>
      </c>
      <c r="K28" s="55">
        <v>6038.8310000000001</v>
      </c>
      <c r="L28" s="56">
        <v>323469.81485999998</v>
      </c>
      <c r="M28" s="55">
        <v>25025.242757</v>
      </c>
      <c r="N28" s="55">
        <v>35.617176999999998</v>
      </c>
      <c r="O28" s="54">
        <v>348530.67479399999</v>
      </c>
      <c r="P28" s="56">
        <v>404872.62160399999</v>
      </c>
      <c r="Q28" s="54">
        <v>86.08</v>
      </c>
    </row>
    <row r="29" spans="1:17" ht="23.1" customHeight="1" x14ac:dyDescent="0.25">
      <c r="A29" s="15" t="s">
        <v>40</v>
      </c>
      <c r="B29" s="15">
        <v>7768</v>
      </c>
      <c r="C29" s="6">
        <v>32311.933333000001</v>
      </c>
      <c r="D29" s="16">
        <v>21246.307000000001</v>
      </c>
      <c r="E29" s="15">
        <v>1283428</v>
      </c>
      <c r="F29" s="6">
        <v>3620922</v>
      </c>
      <c r="G29" s="6">
        <v>4474096</v>
      </c>
      <c r="H29" s="10">
        <v>80.930000000000007</v>
      </c>
      <c r="I29" s="17">
        <v>5913.7370000000001</v>
      </c>
      <c r="J29" s="17">
        <v>20.545999999999999</v>
      </c>
      <c r="K29" s="17">
        <v>5934.2830000000004</v>
      </c>
      <c r="L29" s="18">
        <v>325882.10969999997</v>
      </c>
      <c r="M29" s="17">
        <v>23503.076754000002</v>
      </c>
      <c r="N29" s="17">
        <v>45.878715999999997</v>
      </c>
      <c r="O29" s="10">
        <v>349431.06517000002</v>
      </c>
      <c r="P29" s="18">
        <v>443985.69806099997</v>
      </c>
      <c r="Q29" s="10">
        <v>78.7</v>
      </c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51121</v>
      </c>
      <c r="C35" s="3">
        <f t="shared" si="2"/>
        <v>209390.47033300009</v>
      </c>
      <c r="D35" s="3">
        <f t="shared" si="2"/>
        <v>139833.71100000001</v>
      </c>
      <c r="E35" s="3">
        <f t="shared" si="2"/>
        <v>8452629</v>
      </c>
      <c r="F35" s="3">
        <f t="shared" si="2"/>
        <v>24001891</v>
      </c>
      <c r="G35" s="3">
        <f t="shared" si="2"/>
        <v>29500186</v>
      </c>
      <c r="H35" s="4">
        <f>IFERROR(F35/G35*100,"")</f>
        <v>81.36182937965205</v>
      </c>
      <c r="I35" s="5">
        <f t="shared" ref="I35:P35" si="3">IFERROR(SUM(I23:I34),"")</f>
        <v>37886.252</v>
      </c>
      <c r="J35" s="5">
        <f t="shared" si="3"/>
        <v>65.383999999999986</v>
      </c>
      <c r="K35" s="5">
        <f t="shared" si="3"/>
        <v>37951.635999999999</v>
      </c>
      <c r="L35" s="5">
        <f t="shared" si="3"/>
        <v>2160114.0158700002</v>
      </c>
      <c r="M35" s="5">
        <f t="shared" si="3"/>
        <v>152319.02482399999</v>
      </c>
      <c r="N35" s="5">
        <f t="shared" si="3"/>
        <v>140.81544700000001</v>
      </c>
      <c r="O35" s="5">
        <f t="shared" si="3"/>
        <v>2312573.8561410001</v>
      </c>
      <c r="P35" s="5">
        <f t="shared" si="3"/>
        <v>2661656.3880180004</v>
      </c>
      <c r="Q35" s="5">
        <f>IFERROR(O35/P35*100,"")</f>
        <v>86.884763433459412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251</v>
      </c>
      <c r="C42" s="104">
        <v>448.4</v>
      </c>
      <c r="D42" s="105">
        <v>208.13300000000001</v>
      </c>
      <c r="E42" s="103">
        <v>22991</v>
      </c>
      <c r="F42" s="104">
        <v>15109</v>
      </c>
      <c r="G42" s="104">
        <v>17810</v>
      </c>
      <c r="H42" s="106">
        <v>84.83</v>
      </c>
      <c r="I42" s="107">
        <v>705.59559999999999</v>
      </c>
      <c r="J42" s="108">
        <v>1.6379999999999999</v>
      </c>
      <c r="K42" s="106">
        <v>707.23360000000002</v>
      </c>
      <c r="L42" s="107">
        <v>1355.0213699999999</v>
      </c>
      <c r="M42" s="108">
        <v>1041.107845</v>
      </c>
      <c r="N42" s="108">
        <v>2.941033</v>
      </c>
      <c r="O42" s="106">
        <v>2399.070248</v>
      </c>
      <c r="P42" s="107">
        <v>4223.3843900000002</v>
      </c>
      <c r="Q42" s="106">
        <v>56.8</v>
      </c>
    </row>
    <row r="43" spans="1:17" ht="25.5" customHeight="1" x14ac:dyDescent="0.25">
      <c r="A43" s="47" t="s">
        <v>20</v>
      </c>
      <c r="B43" s="63">
        <v>171</v>
      </c>
      <c r="C43" s="65">
        <v>290.08333333333297</v>
      </c>
      <c r="D43" s="66">
        <v>131.89099999999999</v>
      </c>
      <c r="E43" s="63">
        <v>13868</v>
      </c>
      <c r="F43" s="65">
        <v>9472</v>
      </c>
      <c r="G43" s="65">
        <v>11062</v>
      </c>
      <c r="H43" s="67">
        <v>85.63</v>
      </c>
      <c r="I43" s="68">
        <v>552.01009599999998</v>
      </c>
      <c r="J43" s="69">
        <v>0.31892999999999999</v>
      </c>
      <c r="K43" s="67">
        <v>552.329026</v>
      </c>
      <c r="L43" s="68">
        <v>845.91746999999998</v>
      </c>
      <c r="M43" s="69">
        <v>798.95544199999995</v>
      </c>
      <c r="N43" s="69">
        <v>0.48412100000000002</v>
      </c>
      <c r="O43" s="67">
        <v>1645.357033</v>
      </c>
      <c r="P43" s="68">
        <v>2521.4936210000001</v>
      </c>
      <c r="Q43" s="67">
        <v>65.25</v>
      </c>
    </row>
    <row r="44" spans="1:17" ht="25.5" customHeight="1" x14ac:dyDescent="0.25">
      <c r="A44" s="46" t="s">
        <v>21</v>
      </c>
      <c r="B44" s="109">
        <v>155</v>
      </c>
      <c r="C44" s="110">
        <v>268.91669999999999</v>
      </c>
      <c r="D44" s="111">
        <v>122.92415099999999</v>
      </c>
      <c r="E44" s="109">
        <v>10042</v>
      </c>
      <c r="F44" s="110">
        <v>6999</v>
      </c>
      <c r="G44" s="110">
        <v>8997</v>
      </c>
      <c r="H44" s="112">
        <v>77.790000000000006</v>
      </c>
      <c r="I44" s="113">
        <v>615.98749999999995</v>
      </c>
      <c r="J44" s="114">
        <v>0.60499999999999998</v>
      </c>
      <c r="K44" s="112">
        <v>616.59249999999997</v>
      </c>
      <c r="L44" s="113">
        <v>623.07746999999995</v>
      </c>
      <c r="M44" s="114">
        <v>850.42801899999995</v>
      </c>
      <c r="N44" s="114">
        <v>0.26983000000000001</v>
      </c>
      <c r="O44" s="112">
        <v>1473.7753190000001</v>
      </c>
      <c r="P44" s="113">
        <v>2355.2946999999999</v>
      </c>
      <c r="Q44" s="112">
        <v>62.57</v>
      </c>
    </row>
    <row r="45" spans="1:17" ht="25.5" customHeight="1" x14ac:dyDescent="0.25">
      <c r="A45" s="47" t="s">
        <v>22</v>
      </c>
      <c r="B45" s="63">
        <v>126</v>
      </c>
      <c r="C45" s="70">
        <v>206.11670000000001</v>
      </c>
      <c r="D45" s="66">
        <v>84.477999999999994</v>
      </c>
      <c r="E45" s="63">
        <v>9169</v>
      </c>
      <c r="F45" s="65">
        <v>6530</v>
      </c>
      <c r="G45" s="65">
        <v>8240</v>
      </c>
      <c r="H45" s="67">
        <v>79.25</v>
      </c>
      <c r="I45" s="68">
        <v>132.99789999999999</v>
      </c>
      <c r="J45" s="69">
        <v>0.13900000000000001</v>
      </c>
      <c r="K45" s="67">
        <v>133.1369</v>
      </c>
      <c r="L45" s="68">
        <v>582.39449999999999</v>
      </c>
      <c r="M45" s="69">
        <v>172.61143100000001</v>
      </c>
      <c r="N45" s="69">
        <v>8.3678000000000002E-2</v>
      </c>
      <c r="O45" s="67">
        <v>755.089609</v>
      </c>
      <c r="P45" s="68">
        <v>1421.6430929999999</v>
      </c>
      <c r="Q45" s="67">
        <v>53.11</v>
      </c>
    </row>
    <row r="46" spans="1:17" ht="25.5" customHeight="1" x14ac:dyDescent="0.25">
      <c r="A46" s="46" t="s">
        <v>23</v>
      </c>
      <c r="B46" s="109">
        <v>142</v>
      </c>
      <c r="C46" s="115">
        <v>236.83330000000001</v>
      </c>
      <c r="D46" s="111">
        <v>100.935</v>
      </c>
      <c r="E46" s="109">
        <v>10423</v>
      </c>
      <c r="F46" s="110">
        <v>7328</v>
      </c>
      <c r="G46" s="110">
        <v>8928</v>
      </c>
      <c r="H46" s="112">
        <v>82.08</v>
      </c>
      <c r="I46" s="113">
        <v>271.52591999999999</v>
      </c>
      <c r="J46" s="114">
        <v>4.1000000000000002E-2</v>
      </c>
      <c r="K46" s="112">
        <v>271.56691999999998</v>
      </c>
      <c r="L46" s="113">
        <v>655.15427999999997</v>
      </c>
      <c r="M46" s="114">
        <v>343.883715</v>
      </c>
      <c r="N46" s="114">
        <v>1.1963490000000001</v>
      </c>
      <c r="O46" s="112">
        <v>1000.234344</v>
      </c>
      <c r="P46" s="113">
        <v>1765.5731060000001</v>
      </c>
      <c r="Q46" s="112">
        <v>56.65</v>
      </c>
    </row>
    <row r="47" spans="1:17" ht="25.5" customHeight="1" x14ac:dyDescent="0.25">
      <c r="A47" s="47" t="s">
        <v>39</v>
      </c>
      <c r="B47" s="71">
        <v>134</v>
      </c>
      <c r="C47" s="72">
        <v>219.39333300000001</v>
      </c>
      <c r="D47" s="66">
        <v>91.927000000000007</v>
      </c>
      <c r="E47" s="71">
        <v>10028</v>
      </c>
      <c r="F47" s="72">
        <v>6956</v>
      </c>
      <c r="G47" s="72">
        <v>8269</v>
      </c>
      <c r="H47" s="67">
        <v>84.12</v>
      </c>
      <c r="I47" s="73">
        <v>166.66628</v>
      </c>
      <c r="J47" s="74">
        <v>15.169</v>
      </c>
      <c r="K47" s="67">
        <v>181.83528000000001</v>
      </c>
      <c r="L47" s="73">
        <v>619.14005999999995</v>
      </c>
      <c r="M47" s="74">
        <v>210.227203</v>
      </c>
      <c r="N47" s="74">
        <v>14.660893</v>
      </c>
      <c r="O47" s="67">
        <v>844.02815599999997</v>
      </c>
      <c r="P47" s="73">
        <v>1603.087745</v>
      </c>
      <c r="Q47" s="67">
        <v>52.65</v>
      </c>
    </row>
    <row r="48" spans="1:17" ht="25.5" customHeight="1" x14ac:dyDescent="0.25">
      <c r="A48" s="46" t="s">
        <v>40</v>
      </c>
      <c r="B48" s="116">
        <v>133</v>
      </c>
      <c r="C48" s="117">
        <v>217.816667</v>
      </c>
      <c r="D48" s="118">
        <v>91.736000000000004</v>
      </c>
      <c r="E48" s="116">
        <v>10441</v>
      </c>
      <c r="F48" s="117">
        <v>7177</v>
      </c>
      <c r="G48" s="117">
        <v>8448</v>
      </c>
      <c r="H48" s="112">
        <v>84.96</v>
      </c>
      <c r="I48" s="119">
        <v>199.10843</v>
      </c>
      <c r="J48" s="120">
        <v>8.3239999999999998</v>
      </c>
      <c r="K48" s="112">
        <v>207.43243000000001</v>
      </c>
      <c r="L48" s="119">
        <v>640.26657</v>
      </c>
      <c r="M48" s="120">
        <v>243.644012</v>
      </c>
      <c r="N48" s="120">
        <v>5.6765530000000002</v>
      </c>
      <c r="O48" s="112">
        <v>889.58713499999999</v>
      </c>
      <c r="P48" s="119">
        <v>1567.1116119999999</v>
      </c>
      <c r="Q48" s="112">
        <v>56.77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1112</v>
      </c>
      <c r="C54" s="123">
        <f t="shared" si="4"/>
        <v>1887.560033333333</v>
      </c>
      <c r="D54" s="123">
        <f t="shared" si="4"/>
        <v>832.02415100000007</v>
      </c>
      <c r="E54" s="123">
        <f t="shared" si="4"/>
        <v>86962</v>
      </c>
      <c r="F54" s="123">
        <f t="shared" si="4"/>
        <v>59571</v>
      </c>
      <c r="G54" s="123">
        <f t="shared" si="4"/>
        <v>71754</v>
      </c>
      <c r="H54" s="124">
        <f>IFERROR(F54/G54*100,"")</f>
        <v>83.021155615017989</v>
      </c>
      <c r="I54" s="124">
        <f t="shared" ref="I54:P54" si="5">IFERROR(SUM(I42:I53),"")</f>
        <v>2643.8917259999998</v>
      </c>
      <c r="J54" s="124">
        <f t="shared" si="5"/>
        <v>26.234929999999999</v>
      </c>
      <c r="K54" s="124">
        <f t="shared" si="5"/>
        <v>2670.1266559999995</v>
      </c>
      <c r="L54" s="124">
        <f t="shared" si="5"/>
        <v>5320.9717199999996</v>
      </c>
      <c r="M54" s="124">
        <f t="shared" si="5"/>
        <v>3660.8576669999998</v>
      </c>
      <c r="N54" s="124">
        <f t="shared" si="5"/>
        <v>25.312457000000002</v>
      </c>
      <c r="O54" s="124">
        <f t="shared" si="5"/>
        <v>9007.1418439999998</v>
      </c>
      <c r="P54" s="125">
        <f t="shared" si="5"/>
        <v>15457.588267000003</v>
      </c>
      <c r="Q54" s="124">
        <f>IFERROR(O54/P54*100,"")</f>
        <v>58.270033386961849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>
        <v>163</v>
      </c>
      <c r="C61" s="90">
        <v>513.41669999999999</v>
      </c>
      <c r="D61" s="91">
        <v>339.00241399999999</v>
      </c>
      <c r="E61" s="89">
        <v>0</v>
      </c>
      <c r="F61" s="90">
        <v>0</v>
      </c>
      <c r="G61" s="90">
        <v>0</v>
      </c>
      <c r="H61" s="92"/>
      <c r="I61" s="94">
        <v>2277.5753</v>
      </c>
      <c r="J61" s="95">
        <v>0</v>
      </c>
      <c r="K61" s="95">
        <v>2277.5753</v>
      </c>
      <c r="L61" s="94">
        <v>0</v>
      </c>
      <c r="M61" s="95">
        <v>5022.2038620000003</v>
      </c>
      <c r="N61" s="95">
        <v>0</v>
      </c>
      <c r="O61" s="92">
        <v>5022.2038620000003</v>
      </c>
      <c r="P61" s="95">
        <v>7860.6616759999997</v>
      </c>
      <c r="Q61" s="92">
        <v>63.89</v>
      </c>
    </row>
    <row r="62" spans="1:17" ht="24.75" customHeight="1" x14ac:dyDescent="0.25">
      <c r="A62" s="47" t="s">
        <v>20</v>
      </c>
      <c r="B62" s="71">
        <v>144</v>
      </c>
      <c r="C62" s="72">
        <v>417.51666666666699</v>
      </c>
      <c r="D62" s="76">
        <v>277.015443</v>
      </c>
      <c r="E62" s="71">
        <v>0</v>
      </c>
      <c r="F62" s="72">
        <v>0</v>
      </c>
      <c r="G62" s="72">
        <v>0</v>
      </c>
      <c r="H62" s="67"/>
      <c r="I62" s="73">
        <v>2119.9725109999999</v>
      </c>
      <c r="J62" s="74">
        <v>0</v>
      </c>
      <c r="K62" s="74">
        <v>2119.9725109999999</v>
      </c>
      <c r="L62" s="73">
        <v>0</v>
      </c>
      <c r="M62" s="74">
        <v>4546.7452789999998</v>
      </c>
      <c r="N62" s="74">
        <v>0</v>
      </c>
      <c r="O62" s="67">
        <v>4546.7452789999998</v>
      </c>
      <c r="P62" s="74">
        <v>6467.7491669999999</v>
      </c>
      <c r="Q62" s="67">
        <v>70.3</v>
      </c>
    </row>
    <row r="63" spans="1:17" ht="24.75" customHeight="1" x14ac:dyDescent="0.25">
      <c r="A63" s="48" t="s">
        <v>21</v>
      </c>
      <c r="B63" s="96">
        <v>104</v>
      </c>
      <c r="C63" s="97">
        <v>14.6</v>
      </c>
      <c r="D63" s="98">
        <v>189.90578199999999</v>
      </c>
      <c r="E63" s="96">
        <v>0</v>
      </c>
      <c r="F63" s="97">
        <v>0</v>
      </c>
      <c r="G63" s="97">
        <v>0</v>
      </c>
      <c r="H63" s="99"/>
      <c r="I63" s="100">
        <v>1235.56511</v>
      </c>
      <c r="J63" s="101">
        <v>0</v>
      </c>
      <c r="K63" s="101">
        <v>1235.56511</v>
      </c>
      <c r="L63" s="100">
        <v>0</v>
      </c>
      <c r="M63" s="101">
        <v>2349.66066</v>
      </c>
      <c r="N63" s="101">
        <v>0</v>
      </c>
      <c r="O63" s="99">
        <v>2349.66066</v>
      </c>
      <c r="P63" s="101">
        <v>4570.7870110000003</v>
      </c>
      <c r="Q63" s="99">
        <v>51.41</v>
      </c>
    </row>
    <row r="64" spans="1:17" ht="24.75" customHeight="1" x14ac:dyDescent="0.25">
      <c r="A64" s="47" t="s">
        <v>22</v>
      </c>
      <c r="B64" s="71">
        <v>92</v>
      </c>
      <c r="C64" s="72">
        <v>223.5667</v>
      </c>
      <c r="D64" s="76">
        <v>133.15</v>
      </c>
      <c r="E64" s="71">
        <v>0</v>
      </c>
      <c r="F64" s="72">
        <v>0</v>
      </c>
      <c r="G64" s="72">
        <v>0</v>
      </c>
      <c r="H64" s="67"/>
      <c r="I64" s="73">
        <v>1197.5569800000001</v>
      </c>
      <c r="J64" s="74">
        <v>0</v>
      </c>
      <c r="K64" s="74">
        <v>1197.5569800000001</v>
      </c>
      <c r="L64" s="73">
        <v>0</v>
      </c>
      <c r="M64" s="74">
        <v>1864.834668</v>
      </c>
      <c r="N64" s="74">
        <v>0</v>
      </c>
      <c r="O64" s="67">
        <v>1864.834668</v>
      </c>
      <c r="P64" s="74">
        <v>3245.0320569999999</v>
      </c>
      <c r="Q64" s="67">
        <v>57.47</v>
      </c>
    </row>
    <row r="65" spans="1:17" ht="24.75" customHeight="1" x14ac:dyDescent="0.25">
      <c r="A65" s="48" t="s">
        <v>23</v>
      </c>
      <c r="B65" s="96">
        <v>87</v>
      </c>
      <c r="C65" s="97">
        <v>225.86670000000001</v>
      </c>
      <c r="D65" s="98">
        <v>134.02099999999999</v>
      </c>
      <c r="E65" s="96">
        <v>0</v>
      </c>
      <c r="F65" s="97">
        <v>0</v>
      </c>
      <c r="G65" s="97">
        <v>0</v>
      </c>
      <c r="H65" s="99"/>
      <c r="I65" s="100">
        <v>1124.7669800000001</v>
      </c>
      <c r="J65" s="101">
        <v>0</v>
      </c>
      <c r="K65" s="101">
        <v>1124.7669800000001</v>
      </c>
      <c r="L65" s="100">
        <v>0</v>
      </c>
      <c r="M65" s="101">
        <v>1783.574034</v>
      </c>
      <c r="N65" s="101">
        <v>0</v>
      </c>
      <c r="O65" s="99">
        <v>1783.574034</v>
      </c>
      <c r="P65" s="101">
        <v>3287</v>
      </c>
      <c r="Q65" s="99">
        <v>54.26</v>
      </c>
    </row>
    <row r="66" spans="1:17" ht="24.75" customHeight="1" x14ac:dyDescent="0.25">
      <c r="A66" s="47" t="s">
        <v>39</v>
      </c>
      <c r="B66" s="71">
        <v>122</v>
      </c>
      <c r="C66" s="72">
        <v>323.27</v>
      </c>
      <c r="D66" s="76">
        <v>198.352</v>
      </c>
      <c r="E66" s="71">
        <v>0</v>
      </c>
      <c r="F66" s="72">
        <v>0</v>
      </c>
      <c r="G66" s="72">
        <v>0</v>
      </c>
      <c r="H66" s="67"/>
      <c r="I66" s="73">
        <v>1698.75938</v>
      </c>
      <c r="J66" s="74">
        <v>0</v>
      </c>
      <c r="K66" s="74">
        <v>1698.75938</v>
      </c>
      <c r="L66" s="73">
        <v>0</v>
      </c>
      <c r="M66" s="74">
        <v>3004.4639999999999</v>
      </c>
      <c r="N66" s="74">
        <v>0</v>
      </c>
      <c r="O66" s="67">
        <v>3004.4639999999999</v>
      </c>
      <c r="P66" s="74">
        <v>4253.8419999999996</v>
      </c>
      <c r="Q66" s="67">
        <v>70.63</v>
      </c>
    </row>
    <row r="67" spans="1:17" ht="24.75" customHeight="1" x14ac:dyDescent="0.25">
      <c r="A67" s="48" t="s">
        <v>40</v>
      </c>
      <c r="B67" s="96">
        <v>97</v>
      </c>
      <c r="C67" s="97">
        <v>253.4</v>
      </c>
      <c r="D67" s="98">
        <v>153.29</v>
      </c>
      <c r="E67" s="96">
        <v>0</v>
      </c>
      <c r="F67" s="97">
        <v>0</v>
      </c>
      <c r="G67" s="97">
        <v>0</v>
      </c>
      <c r="H67" s="99"/>
      <c r="I67" s="100">
        <v>1461.6738499999999</v>
      </c>
      <c r="J67" s="101">
        <v>0</v>
      </c>
      <c r="K67" s="101">
        <v>1461.6738499999999</v>
      </c>
      <c r="L67" s="100">
        <v>0</v>
      </c>
      <c r="M67" s="101">
        <v>2500.624429</v>
      </c>
      <c r="N67" s="101">
        <v>0</v>
      </c>
      <c r="O67" s="99">
        <v>2500.624429</v>
      </c>
      <c r="P67" s="101">
        <v>3594.850915</v>
      </c>
      <c r="Q67" s="99">
        <v>69.56</v>
      </c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809</v>
      </c>
      <c r="C73" s="87">
        <f t="shared" si="6"/>
        <v>1971.6367666666672</v>
      </c>
      <c r="D73" s="87">
        <f t="shared" si="6"/>
        <v>1424.7366390000002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11115.870111</v>
      </c>
      <c r="J73" s="88">
        <f t="shared" si="7"/>
        <v>0</v>
      </c>
      <c r="K73" s="88">
        <f t="shared" si="7"/>
        <v>11115.870111</v>
      </c>
      <c r="L73" s="88">
        <f t="shared" si="7"/>
        <v>0</v>
      </c>
      <c r="M73" s="88">
        <f t="shared" si="7"/>
        <v>21072.106931999999</v>
      </c>
      <c r="N73" s="88">
        <f t="shared" si="7"/>
        <v>0</v>
      </c>
      <c r="O73" s="88">
        <f t="shared" si="7"/>
        <v>21072.106931999999</v>
      </c>
      <c r="P73" s="88">
        <f t="shared" si="7"/>
        <v>33279.922826000002</v>
      </c>
      <c r="Q73" s="88">
        <f>IFERROR(O73/P73*100,"")</f>
        <v>63.317775831912016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2026-08-13T07:30:20Z</dcterms:modified>
</cp:coreProperties>
</file>
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ly 2026\Excel July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<sst xmlns="http://schemas.openxmlformats.org/spreadsheetml/2006/main" count="157" uniqueCount="44">
  <si>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</si>
  <si>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</si>
  <si>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</si>
  <si>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</si>
  <si>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</si>
  <si>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</si>
  <si>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</si>
  <si>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</si>
  <si>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</si>
  <si>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</si>
  <si>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</si>
  <si>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</si>
  <si>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</si>
  <si>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</si>
  <si>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</si>
  <si>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</si>
  <si>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</si>
  <si>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</si>
  <si>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</si>
  <si>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</si>
  <si>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</si>
  <si>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</si>
  <si>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</si>
  <si>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</si>
  <si>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</si>
  <si>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</si>
  <si>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</si>
  <si>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</si>
  <si>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</si>
  <si>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</si>
  <si>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</si>
  <si>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</si>
  <si>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</si>
  <si>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</si>
  <si>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</si>
  <si>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</si>
  <si>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</si>
  <si>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</si>
  <si>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</si>
  <si>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</si>
  <si>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</si>
  <si>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QUIKJET CARGO</t>
  </si>
  <si>
    <t>2026</t>
  </si>
  <si>
    <t>SOURCE:- ICAO ATR FORM A FURNISHED BY QUIKJET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</si>
</sst>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Normal="85" zoomScaleSheetLayoutView="100" workbookViewId="0">
      <selection activeCell="H61" sqref="H61:H64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37</v>
      </c>
      <c r="C4" s="21">
        <v>84.383332999999993</v>
      </c>
      <c r="D4" s="22">
        <v>43.841000000000001</v>
      </c>
      <c r="E4" s="23">
        <v>0</v>
      </c>
      <c r="F4" s="21">
        <v>0</v>
      </c>
      <c r="G4" s="21">
        <v>0</v>
      </c>
      <c r="H4" s="25"/>
      <c r="I4" s="26">
        <v>442.904</v>
      </c>
      <c r="J4" s="27">
        <v>0</v>
      </c>
      <c r="K4" s="25">
        <v>442.904</v>
      </c>
      <c r="L4" s="26">
        <v>0</v>
      </c>
      <c r="M4" s="27">
        <v>522.30190200000004</v>
      </c>
      <c r="N4" s="27">
        <v>0</v>
      </c>
      <c r="O4" s="25">
        <v>522.30190200000004</v>
      </c>
      <c r="P4" s="27">
        <v>964.50199999999995</v>
      </c>
      <c r="Q4" s="25">
        <v>54.15</v>
      </c>
    </row>
    <row r="5" spans="1:17" ht="23.1" customHeight="1" x14ac:dyDescent="0.25">
      <c r="A5" s="43" t="s">
        <v>20</v>
      </c>
      <c r="B5" s="64">
        <v>24</v>
      </c>
      <c r="C5" s="64">
        <v>50.9166666666667</v>
      </c>
      <c r="D5" s="53">
        <v>27.24</v>
      </c>
      <c r="E5" s="75">
        <v>0</v>
      </c>
      <c r="F5" s="64">
        <v>0</v>
      </c>
      <c r="G5" s="64">
        <v>0</v>
      </c>
      <c r="H5" s="84"/>
      <c r="I5" s="93">
        <v>308.279</v>
      </c>
      <c r="J5" s="102">
        <v>0</v>
      </c>
      <c r="K5" s="84">
        <v>308.279</v>
      </c>
      <c r="L5" s="93">
        <v>0</v>
      </c>
      <c r="M5" s="102">
        <v>349.89666499999998</v>
      </c>
      <c r="N5" s="102">
        <v>0</v>
      </c>
      <c r="O5" s="84">
        <v>349.89666499999998</v>
      </c>
      <c r="P5" s="102">
        <v>599.28</v>
      </c>
      <c r="Q5" s="84">
        <v>58.39</v>
      </c>
    </row>
    <row r="6" spans="1:17" ht="23.1" customHeight="1" x14ac:dyDescent="0.25">
      <c r="A6" s="45" t="s">
        <v>21</v>
      </c>
      <c r="B6" s="29">
        <v>21</v>
      </c>
      <c r="C6" s="29">
        <v>44.983333000000002</v>
      </c>
      <c r="D6" s="28">
        <v>23.835000000000001</v>
      </c>
      <c r="E6" s="30">
        <v>0</v>
      </c>
      <c r="F6" s="29">
        <v>0</v>
      </c>
      <c r="G6" s="29">
        <v>0</v>
      </c>
      <c r="H6" s="31"/>
      <c r="I6" s="32">
        <v>243.267</v>
      </c>
      <c r="J6" s="33">
        <v>0</v>
      </c>
      <c r="K6" s="31">
        <v>243.267</v>
      </c>
      <c r="L6" s="32">
        <v>0</v>
      </c>
      <c r="M6" s="33">
        <v>276.108045</v>
      </c>
      <c r="N6" s="33">
        <v>0</v>
      </c>
      <c r="O6" s="31">
        <v>276.108045</v>
      </c>
      <c r="P6" s="33">
        <v>524.37</v>
      </c>
      <c r="Q6" s="31">
        <v>52.66</v>
      </c>
    </row>
    <row r="7" spans="1:17" ht="23.1" customHeight="1" x14ac:dyDescent="0.25">
      <c r="A7" s="43" t="s">
        <v>22</v>
      </c>
      <c r="B7" s="64">
        <v>73</v>
      </c>
      <c r="C7" s="64">
        <v>156.51666</v>
      </c>
      <c r="D7" s="53">
        <v>88.186999999999998</v>
      </c>
      <c r="E7" s="75">
        <v>0</v>
      </c>
      <c r="F7" s="64">
        <v>0</v>
      </c>
      <c r="G7" s="64">
        <v>0</v>
      </c>
      <c r="H7" s="84"/>
      <c r="I7" s="93">
        <v>857.73800000000006</v>
      </c>
      <c r="J7" s="102">
        <v>0</v>
      </c>
      <c r="K7" s="84">
        <v>857.73800000000006</v>
      </c>
      <c r="L7" s="93">
        <v>0</v>
      </c>
      <c r="M7" s="102">
        <v>1033.964305</v>
      </c>
      <c r="N7" s="102">
        <v>0</v>
      </c>
      <c r="O7" s="84">
        <v>1033.964305</v>
      </c>
      <c r="P7" s="102">
        <v>1940.114</v>
      </c>
      <c r="Q7" s="84">
        <v>53.29</v>
      </c>
    </row>
    <row r="8" spans="1:17" ht="30" customHeight="1" x14ac:dyDescent="0.25">
      <c r="A8" s="45" t="s">
        <v>23</v>
      </c>
      <c r="B8" s="29">
        <v>85</v>
      </c>
      <c r="C8" s="29">
        <v>190.96665999999999</v>
      </c>
      <c r="D8" s="28">
        <v>104.46299999999999</v>
      </c>
      <c r="E8" s="30">
        <v>0</v>
      </c>
      <c r="F8" s="29">
        <v>0</v>
      </c>
      <c r="G8" s="29">
        <v>0</v>
      </c>
      <c r="H8" s="31"/>
      <c r="I8" s="32">
        <v>963.69200000000001</v>
      </c>
      <c r="J8" s="33">
        <v>0</v>
      </c>
      <c r="K8" s="31">
        <v>963.69200000000001</v>
      </c>
      <c r="L8" s="32">
        <v>0</v>
      </c>
      <c r="M8" s="33">
        <v>1130.6094889999999</v>
      </c>
      <c r="N8" s="33">
        <v>0</v>
      </c>
      <c r="O8" s="31">
        <v>1130.6094889999999</v>
      </c>
      <c r="P8" s="33">
        <v>2298.1860000000001</v>
      </c>
      <c r="Q8" s="31">
        <v>49.2</v>
      </c>
    </row>
    <row r="9" spans="1:17" ht="23.1" customHeight="1" x14ac:dyDescent="0.25">
      <c r="A9" s="43" t="s">
        <v>39</v>
      </c>
      <c r="B9" s="64">
        <v>83</v>
      </c>
      <c r="C9" s="64">
        <v>192.9</v>
      </c>
      <c r="D9" s="53">
        <v>101.36</v>
      </c>
      <c r="E9" s="75">
        <v>0</v>
      </c>
      <c r="F9" s="64">
        <v>0</v>
      </c>
      <c r="G9" s="64">
        <v>0</v>
      </c>
      <c r="H9" s="84"/>
      <c r="I9" s="93">
        <v>804.59900000000005</v>
      </c>
      <c r="J9" s="102">
        <v>0</v>
      </c>
      <c r="K9" s="84">
        <v>804.59900000000005</v>
      </c>
      <c r="L9" s="93">
        <v>0</v>
      </c>
      <c r="M9" s="102">
        <v>988.27265</v>
      </c>
      <c r="N9" s="102">
        <v>0</v>
      </c>
      <c r="O9" s="84">
        <v>988.27265</v>
      </c>
      <c r="P9" s="102">
        <v>2229.92</v>
      </c>
      <c r="Q9" s="84">
        <v>44.32</v>
      </c>
    </row>
    <row r="10" spans="1:17" ht="23.1" customHeight="1" x14ac:dyDescent="0.25">
      <c r="A10" s="45" t="s">
        <v>24</v>
      </c>
      <c r="B10" s="29">
        <v>63</v>
      </c>
      <c r="C10" s="29">
        <v>148.15</v>
      </c>
      <c r="D10" s="28">
        <v>81.387</v>
      </c>
      <c r="E10" s="30">
        <v>0</v>
      </c>
      <c r="F10" s="29">
        <v>0</v>
      </c>
      <c r="G10" s="29">
        <v>0</v>
      </c>
      <c r="H10" s="31"/>
      <c r="I10" s="32">
        <v>763.846</v>
      </c>
      <c r="J10" s="33">
        <v>0</v>
      </c>
      <c r="K10" s="31">
        <v>763.846</v>
      </c>
      <c r="L10" s="32">
        <v>0</v>
      </c>
      <c r="M10" s="33">
        <v>991.25199999999995</v>
      </c>
      <c r="N10" s="33">
        <v>0</v>
      </c>
      <c r="O10" s="31">
        <v>991.25199999999995</v>
      </c>
      <c r="P10" s="33">
        <v>1790.5139999999999</v>
      </c>
      <c r="Q10" s="31">
        <v>55.36</v>
      </c>
    </row>
    <row r="11" spans="1:17" ht="23.1" customHeight="1" x14ac:dyDescent="0.25">
      <c r="A11" s="43" t="s">
        <v>25</v>
      </c>
      <c r="B11" s="64"/>
      <c r="C11" s="64"/>
      <c r="D11" s="53"/>
      <c r="E11" s="75"/>
      <c r="F11" s="64"/>
      <c r="G11" s="64"/>
      <c r="H11" s="84"/>
      <c r="I11" s="93"/>
      <c r="J11" s="102"/>
      <c r="K11" s="84"/>
      <c r="L11" s="93"/>
      <c r="M11" s="102"/>
      <c r="N11" s="102"/>
      <c r="O11" s="84"/>
      <c r="P11" s="102"/>
      <c r="Q11" s="84"/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386</v>
      </c>
      <c r="C16" s="36">
        <f t="shared" si="0"/>
        <v>868.81665266666664</v>
      </c>
      <c r="D16" s="36">
        <f t="shared" si="0"/>
        <v>470.31300000000005</v>
      </c>
      <c r="E16" s="36">
        <f t="shared" si="0"/>
        <v>0</v>
      </c>
      <c r="F16" s="36">
        <f t="shared" si="0"/>
        <v>0</v>
      </c>
      <c r="G16" s="36">
        <f t="shared" si="0"/>
        <v>0</v>
      </c>
      <c r="H16" s="37" t="str">
        <f>IFERROR(F16/G16*100,"")</f>
        <v/>
      </c>
      <c r="I16" s="37">
        <f t="shared" ref="I16:P16" si="1">IFERROR(SUM(I4:I15),"")</f>
        <v>4384.3250000000007</v>
      </c>
      <c r="J16" s="37">
        <f t="shared" si="1"/>
        <v>0</v>
      </c>
      <c r="K16" s="37">
        <f t="shared" si="1"/>
        <v>4384.3250000000007</v>
      </c>
      <c r="L16" s="37">
        <f t="shared" si="1"/>
        <v>0</v>
      </c>
      <c r="M16" s="37">
        <f t="shared" si="1"/>
        <v>5292.4050559999996</v>
      </c>
      <c r="N16" s="37">
        <f t="shared" si="1"/>
        <v>0</v>
      </c>
      <c r="O16" s="37">
        <f t="shared" si="1"/>
        <v>5292.4050559999996</v>
      </c>
      <c r="P16" s="38">
        <f t="shared" si="1"/>
        <v>10346.885999999999</v>
      </c>
      <c r="Q16" s="38">
        <f>IFERROR(O16/P16*100,"")</f>
        <v>51.149737766512558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>
        <v>61</v>
      </c>
      <c r="C42" s="104">
        <v>139</v>
      </c>
      <c r="D42" s="105">
        <v>72.864000000000004</v>
      </c>
      <c r="E42" s="103">
        <v>0</v>
      </c>
      <c r="F42" s="104">
        <v>0</v>
      </c>
      <c r="G42" s="104">
        <v>0</v>
      </c>
      <c r="H42" s="106"/>
      <c r="I42" s="107">
        <v>570.71</v>
      </c>
      <c r="J42" s="108">
        <v>0</v>
      </c>
      <c r="K42" s="106">
        <v>570.71</v>
      </c>
      <c r="L42" s="107">
        <v>0</v>
      </c>
      <c r="M42" s="108">
        <v>691.063357</v>
      </c>
      <c r="N42" s="108">
        <v>0</v>
      </c>
      <c r="O42" s="106">
        <v>691.063357</v>
      </c>
      <c r="P42" s="107">
        <v>1603.008</v>
      </c>
      <c r="Q42" s="106">
        <v>43.11</v>
      </c>
    </row>
    <row r="43" spans="1:17" ht="25.5" customHeight="1" x14ac:dyDescent="0.25">
      <c r="A43" s="47" t="s">
        <v>20</v>
      </c>
      <c r="B43" s="63">
        <v>65</v>
      </c>
      <c r="C43" s="65">
        <v>139.21666666666701</v>
      </c>
      <c r="D43" s="66">
        <v>80.9148</v>
      </c>
      <c r="E43" s="63">
        <v>0</v>
      </c>
      <c r="F43" s="65">
        <v>0</v>
      </c>
      <c r="G43" s="65">
        <v>0</v>
      </c>
      <c r="H43" s="67"/>
      <c r="I43" s="68">
        <v>653.476</v>
      </c>
      <c r="J43" s="69">
        <v>0</v>
      </c>
      <c r="K43" s="67">
        <v>653.476</v>
      </c>
      <c r="L43" s="68">
        <v>0</v>
      </c>
      <c r="M43" s="69">
        <v>811.64274379999995</v>
      </c>
      <c r="N43" s="69">
        <v>0</v>
      </c>
      <c r="O43" s="67">
        <v>811.64274379999995</v>
      </c>
      <c r="P43" s="68">
        <v>1780.1256000000001</v>
      </c>
      <c r="Q43" s="67">
        <v>45.59</v>
      </c>
    </row>
    <row r="44" spans="1:17" ht="25.5" customHeight="1" x14ac:dyDescent="0.25">
      <c r="A44" s="46" t="s">
        <v>21</v>
      </c>
      <c r="B44" s="109">
        <v>86</v>
      </c>
      <c r="C44" s="110">
        <v>173.2</v>
      </c>
      <c r="D44" s="111">
        <v>95.488</v>
      </c>
      <c r="E44" s="109">
        <v>0</v>
      </c>
      <c r="F44" s="110">
        <v>0</v>
      </c>
      <c r="G44" s="110">
        <v>0</v>
      </c>
      <c r="H44" s="112"/>
      <c r="I44" s="113">
        <v>798.69500000000005</v>
      </c>
      <c r="J44" s="114">
        <v>0</v>
      </c>
      <c r="K44" s="112">
        <v>798.69500000000005</v>
      </c>
      <c r="L44" s="113">
        <v>0</v>
      </c>
      <c r="M44" s="114">
        <v>950.39828699999998</v>
      </c>
      <c r="N44" s="114">
        <v>0</v>
      </c>
      <c r="O44" s="112">
        <v>950.39828699999998</v>
      </c>
      <c r="P44" s="113">
        <v>2100.7359999999999</v>
      </c>
      <c r="Q44" s="112">
        <v>45.24</v>
      </c>
    </row>
    <row r="45" spans="1:17" ht="25.5" customHeight="1" x14ac:dyDescent="0.25">
      <c r="A45" s="47" t="s">
        <v>22</v>
      </c>
      <c r="B45" s="63">
        <v>21</v>
      </c>
      <c r="C45" s="70">
        <v>40.133299999999998</v>
      </c>
      <c r="D45" s="66">
        <v>19.669</v>
      </c>
      <c r="E45" s="63">
        <v>0</v>
      </c>
      <c r="F45" s="65">
        <v>0</v>
      </c>
      <c r="G45" s="65">
        <v>0</v>
      </c>
      <c r="H45" s="67"/>
      <c r="I45" s="68">
        <v>153.654</v>
      </c>
      <c r="J45" s="69">
        <v>0</v>
      </c>
      <c r="K45" s="67">
        <v>153.654</v>
      </c>
      <c r="L45" s="68">
        <v>0</v>
      </c>
      <c r="M45" s="69">
        <v>157.67295100000001</v>
      </c>
      <c r="N45" s="69">
        <v>0</v>
      </c>
      <c r="O45" s="67">
        <v>157.67295100000001</v>
      </c>
      <c r="P45" s="68">
        <v>432.71800000000002</v>
      </c>
      <c r="Q45" s="67">
        <v>36.44</v>
      </c>
    </row>
    <row r="46" spans="1:17" ht="25.5" customHeight="1" x14ac:dyDescent="0.25">
      <c r="A46" s="46" t="s">
        <v>23</v>
      </c>
      <c r="B46" s="109">
        <v>8</v>
      </c>
      <c r="C46" s="115">
        <v>15.55</v>
      </c>
      <c r="D46" s="111">
        <v>8.3780000000000001</v>
      </c>
      <c r="E46" s="109">
        <v>0</v>
      </c>
      <c r="F46" s="110">
        <v>0</v>
      </c>
      <c r="G46" s="110">
        <v>0</v>
      </c>
      <c r="H46" s="112"/>
      <c r="I46" s="113">
        <v>61.606999999999999</v>
      </c>
      <c r="J46" s="114">
        <v>0</v>
      </c>
      <c r="K46" s="112">
        <v>61.606999999999999</v>
      </c>
      <c r="L46" s="113">
        <v>0</v>
      </c>
      <c r="M46" s="114">
        <v>88.230844000000005</v>
      </c>
      <c r="N46" s="114">
        <v>0</v>
      </c>
      <c r="O46" s="112">
        <v>88.230844000000005</v>
      </c>
      <c r="P46" s="113">
        <v>184.316</v>
      </c>
      <c r="Q46" s="112">
        <v>47.87</v>
      </c>
    </row>
    <row r="47" spans="1:17" ht="25.5" customHeight="1" x14ac:dyDescent="0.25">
      <c r="A47" s="47" t="s">
        <v>39</v>
      </c>
      <c r="B47" s="71">
        <v>1</v>
      </c>
      <c r="C47" s="72">
        <v>2.6666669999999999</v>
      </c>
      <c r="D47" s="66">
        <v>1.7030000000000001</v>
      </c>
      <c r="E47" s="71">
        <v>0</v>
      </c>
      <c r="F47" s="72">
        <v>0</v>
      </c>
      <c r="G47" s="72">
        <v>0</v>
      </c>
      <c r="H47" s="67"/>
      <c r="I47" s="73">
        <v>13.752000000000001</v>
      </c>
      <c r="J47" s="74">
        <v>0</v>
      </c>
      <c r="K47" s="67">
        <v>13.752000000000001</v>
      </c>
      <c r="L47" s="73">
        <v>0</v>
      </c>
      <c r="M47" s="74">
        <v>23.41966</v>
      </c>
      <c r="N47" s="74">
        <v>0</v>
      </c>
      <c r="O47" s="67">
        <v>23.41966</v>
      </c>
      <c r="P47" s="73">
        <v>37.466000000000001</v>
      </c>
      <c r="Q47" s="67">
        <v>62.51</v>
      </c>
    </row>
    <row r="48" spans="1:17" ht="25.5" customHeight="1" x14ac:dyDescent="0.25">
      <c r="A48" s="46" t="s">
        <v>40</v>
      </c>
      <c r="B48" s="116">
        <v>9</v>
      </c>
      <c r="C48" s="117">
        <v>25.683333333333302</v>
      </c>
      <c r="D48" s="118">
        <v>15.327</v>
      </c>
      <c r="E48" s="116">
        <v>0</v>
      </c>
      <c r="F48" s="117">
        <v>0</v>
      </c>
      <c r="G48" s="117">
        <v>0</v>
      </c>
      <c r="H48" s="112"/>
      <c r="I48" s="119">
        <v>105.68899999999999</v>
      </c>
      <c r="J48" s="120">
        <v>0</v>
      </c>
      <c r="K48" s="112">
        <v>105.68899999999999</v>
      </c>
      <c r="L48" s="119">
        <v>0</v>
      </c>
      <c r="M48" s="120">
        <v>179.98837</v>
      </c>
      <c r="N48" s="120">
        <v>0</v>
      </c>
      <c r="O48" s="112">
        <v>179.98837</v>
      </c>
      <c r="P48" s="119">
        <v>337.19400000000002</v>
      </c>
      <c r="Q48" s="112">
        <v>53.38</v>
      </c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251</v>
      </c>
      <c r="C54" s="123">
        <f t="shared" si="4"/>
        <v>535.44996700000036</v>
      </c>
      <c r="D54" s="123">
        <f t="shared" si="4"/>
        <v>294.34379999999993</v>
      </c>
      <c r="E54" s="123">
        <f t="shared" si="4"/>
        <v>0</v>
      </c>
      <c r="F54" s="123">
        <f t="shared" si="4"/>
        <v>0</v>
      </c>
      <c r="G54" s="123">
        <f t="shared" si="4"/>
        <v>0</v>
      </c>
      <c r="H54" s="124" t="str">
        <f>IFERROR(F54/G54*100,"")</f>
        <v/>
      </c>
      <c r="I54" s="124">
        <f t="shared" ref="I54:P54" si="5">IFERROR(SUM(I42:I53),"")</f>
        <v>2357.5830000000001</v>
      </c>
      <c r="J54" s="124">
        <f t="shared" si="5"/>
        <v>0</v>
      </c>
      <c r="K54" s="124">
        <f t="shared" si="5"/>
        <v>2357.5830000000001</v>
      </c>
      <c r="L54" s="124">
        <f t="shared" si="5"/>
        <v>0</v>
      </c>
      <c r="M54" s="124">
        <f t="shared" si="5"/>
        <v>2902.4162128000003</v>
      </c>
      <c r="N54" s="124">
        <f t="shared" si="5"/>
        <v>0</v>
      </c>
      <c r="O54" s="124">
        <f t="shared" si="5"/>
        <v>2902.4162128000003</v>
      </c>
      <c r="P54" s="125">
        <f t="shared" si="5"/>
        <v>6475.5636000000004</v>
      </c>
      <c r="Q54" s="124">
        <f>IFERROR(O54/P54*100,"")</f>
        <v>44.821059479672165</v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>
        <v>24</v>
      </c>
      <c r="C61" s="90">
        <v>97.083330000000004</v>
      </c>
      <c r="D61" s="91">
        <v>56.069000000000003</v>
      </c>
      <c r="E61" s="89">
        <v>0</v>
      </c>
      <c r="F61" s="90">
        <v>0</v>
      </c>
      <c r="G61" s="90">
        <v>0</v>
      </c>
      <c r="H61" s="92"/>
      <c r="I61" s="94">
        <v>192.01300000000001</v>
      </c>
      <c r="J61" s="95">
        <v>0</v>
      </c>
      <c r="K61" s="95">
        <v>192.01300000000001</v>
      </c>
      <c r="L61" s="94">
        <v>0</v>
      </c>
      <c r="M61" s="95">
        <v>576.807052</v>
      </c>
      <c r="N61" s="95">
        <v>0</v>
      </c>
      <c r="O61" s="92">
        <v>576.807052</v>
      </c>
      <c r="P61" s="95">
        <v>1233.518</v>
      </c>
      <c r="Q61" s="92">
        <v>46.76</v>
      </c>
    </row>
    <row r="62" spans="1:17" ht="24.75" customHeight="1" x14ac:dyDescent="0.25">
      <c r="A62" s="47" t="s">
        <v>20</v>
      </c>
      <c r="B62" s="71">
        <v>53</v>
      </c>
      <c r="C62" s="72">
        <v>209.78333333333299</v>
      </c>
      <c r="D62" s="76">
        <v>131.24279999999999</v>
      </c>
      <c r="E62" s="71">
        <v>0</v>
      </c>
      <c r="F62" s="72">
        <v>0</v>
      </c>
      <c r="G62" s="72">
        <v>0</v>
      </c>
      <c r="H62" s="67"/>
      <c r="I62" s="73">
        <v>666.53300000000002</v>
      </c>
      <c r="J62" s="74">
        <v>0</v>
      </c>
      <c r="K62" s="74">
        <v>666.53300000000002</v>
      </c>
      <c r="L62" s="73">
        <v>0</v>
      </c>
      <c r="M62" s="74">
        <v>1794.6893178</v>
      </c>
      <c r="N62" s="74">
        <v>0</v>
      </c>
      <c r="O62" s="67">
        <v>1794.6893178</v>
      </c>
      <c r="P62" s="74">
        <v>2887.3416000000002</v>
      </c>
      <c r="Q62" s="67">
        <v>62.16</v>
      </c>
    </row>
    <row r="63" spans="1:17" ht="24.75" customHeight="1" x14ac:dyDescent="0.25">
      <c r="A63" s="48" t="s">
        <v>21</v>
      </c>
      <c r="B63" s="96">
        <v>19</v>
      </c>
      <c r="C63" s="97">
        <v>72.400000000000006</v>
      </c>
      <c r="D63" s="98">
        <v>37.951999999999998</v>
      </c>
      <c r="E63" s="96">
        <v>0</v>
      </c>
      <c r="F63" s="97">
        <v>0</v>
      </c>
      <c r="G63" s="97">
        <v>0</v>
      </c>
      <c r="H63" s="99"/>
      <c r="I63" s="100">
        <v>140.55600000000001</v>
      </c>
      <c r="J63" s="101">
        <v>0</v>
      </c>
      <c r="K63" s="101">
        <v>140.55600000000001</v>
      </c>
      <c r="L63" s="100">
        <v>0</v>
      </c>
      <c r="M63" s="101">
        <v>403.953057</v>
      </c>
      <c r="N63" s="101">
        <v>0</v>
      </c>
      <c r="O63" s="99">
        <v>403.953057</v>
      </c>
      <c r="P63" s="101">
        <v>834.94399999999996</v>
      </c>
      <c r="Q63" s="99">
        <v>48.38</v>
      </c>
    </row>
    <row r="64" spans="1:17" ht="24.75" customHeight="1" x14ac:dyDescent="0.25">
      <c r="A64" s="47" t="s">
        <v>22</v>
      </c>
      <c r="B64" s="71">
        <v>4</v>
      </c>
      <c r="C64" s="72">
        <v>15.58333</v>
      </c>
      <c r="D64" s="76">
        <v>9.1020000000000003</v>
      </c>
      <c r="E64" s="71">
        <v>0</v>
      </c>
      <c r="F64" s="72">
        <v>0</v>
      </c>
      <c r="G64" s="72">
        <v>0</v>
      </c>
      <c r="H64" s="67"/>
      <c r="I64" s="73">
        <v>36.302</v>
      </c>
      <c r="J64" s="74">
        <v>0</v>
      </c>
      <c r="K64" s="74">
        <v>36.302</v>
      </c>
      <c r="L64" s="73">
        <v>0</v>
      </c>
      <c r="M64" s="74">
        <v>109.051208</v>
      </c>
      <c r="N64" s="74">
        <v>0</v>
      </c>
      <c r="O64" s="67">
        <v>109.051208</v>
      </c>
      <c r="P64" s="74">
        <v>200.244</v>
      </c>
      <c r="Q64" s="67">
        <v>54.46</v>
      </c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100</v>
      </c>
      <c r="C73" s="87">
        <f t="shared" si="6"/>
        <v>394.84999333333297</v>
      </c>
      <c r="D73" s="87">
        <f t="shared" si="6"/>
        <v>234.36580000000001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1035.404</v>
      </c>
      <c r="J73" s="88">
        <f t="shared" si="7"/>
        <v>0</v>
      </c>
      <c r="K73" s="88">
        <f t="shared" si="7"/>
        <v>1035.404</v>
      </c>
      <c r="L73" s="88">
        <f t="shared" si="7"/>
        <v>0</v>
      </c>
      <c r="M73" s="88">
        <f t="shared" si="7"/>
        <v>2884.5006348000002</v>
      </c>
      <c r="N73" s="88">
        <f t="shared" si="7"/>
        <v>0</v>
      </c>
      <c r="O73" s="88">
        <f t="shared" si="7"/>
        <v>2884.5006348000002</v>
      </c>
      <c r="P73" s="88">
        <f t="shared" si="7"/>
        <v>5156.047599999999</v>
      </c>
      <c r="Q73" s="88">
        <f>IFERROR(O73/P73*100,"")</f>
        <v>55.944026482610454</v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2026-08-13T07:30:34Z</dcterms:modified>
</cp:coreProperties>
</file>